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50.xml" ContentType="application/vnd.ms-office.chartcolorstyle+xml"/>
  <Override PartName="/xl/charts/style50.xml" ContentType="application/vnd.ms-office.chartstyle+xml"/>
  <Override PartName="/xl/charts/colors11.xml" ContentType="application/vnd.ms-office.chartcolorstyle+xml"/>
  <Override PartName="/xl/charts/style11.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hidePivotFieldList="1"/>
  <mc:AlternateContent xmlns:mc="http://schemas.openxmlformats.org/markup-compatibility/2006">
    <mc:Choice Requires="x15">
      <x15ac:absPath xmlns:x15ac="http://schemas.microsoft.com/office/spreadsheetml/2010/11/ac" url="D:\DATA ANALYTICS\Data Analysts Projects\HR Analytics Dashboard in Excel\"/>
    </mc:Choice>
  </mc:AlternateContent>
  <bookViews>
    <workbookView xWindow="-120" yWindow="-120" windowWidth="20730" windowHeight="11160" activeTab="2"/>
  </bookViews>
  <sheets>
    <sheet name="Sheet3" sheetId="5" r:id="rId1"/>
    <sheet name="Employee_Data" sheetId="1" r:id="rId2"/>
    <sheet name="KPI_Calculations" sheetId="2" r:id="rId3"/>
    <sheet name="HR Dashboard" sheetId="4" r:id="rId4"/>
  </sheets>
  <definedNames>
    <definedName name="_xlchart.v1.0" hidden="1">Employee_Data!$F$1</definedName>
    <definedName name="_xlchart.v1.1" hidden="1">Employee_Data!$F$2:$F$101</definedName>
    <definedName name="_xlchart.v1.2" hidden="1">Employee_Data!$F$1</definedName>
    <definedName name="_xlchart.v1.3" hidden="1">Employee_Data!$F$2:$F$101</definedName>
    <definedName name="Slicer_Attrition">#N/A</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4" i="2" l="1"/>
  <c r="B8" i="2"/>
  <c r="B7" i="2"/>
  <c r="B6" i="2"/>
  <c r="B5" i="2"/>
  <c r="B3" i="2"/>
  <c r="B2" i="2"/>
</calcChain>
</file>

<file path=xl/sharedStrings.xml><?xml version="1.0" encoding="utf-8"?>
<sst xmlns="http://schemas.openxmlformats.org/spreadsheetml/2006/main" count="559" uniqueCount="209">
  <si>
    <t>Emp ID</t>
  </si>
  <si>
    <t>Employee Name</t>
  </si>
  <si>
    <t>Department</t>
  </si>
  <si>
    <t>Gender</t>
  </si>
  <si>
    <t>Age</t>
  </si>
  <si>
    <t>Salary</t>
  </si>
  <si>
    <t>Performance Rating</t>
  </si>
  <si>
    <t>Attrition</t>
  </si>
  <si>
    <t>Joining Date</t>
  </si>
  <si>
    <t>E001</t>
  </si>
  <si>
    <t>Vivek Joshi</t>
  </si>
  <si>
    <t>Marketing</t>
  </si>
  <si>
    <t>Male</t>
  </si>
  <si>
    <t>No</t>
  </si>
  <si>
    <t>E002</t>
  </si>
  <si>
    <t>Rohan Singh</t>
  </si>
  <si>
    <t>HR</t>
  </si>
  <si>
    <t>E003</t>
  </si>
  <si>
    <t>Karan Mehta</t>
  </si>
  <si>
    <t>E004</t>
  </si>
  <si>
    <t>Shweta Singh</t>
  </si>
  <si>
    <t>Female</t>
  </si>
  <si>
    <t>E005</t>
  </si>
  <si>
    <t>Aarti Patil</t>
  </si>
  <si>
    <t>Sales</t>
  </si>
  <si>
    <t>E006</t>
  </si>
  <si>
    <t>Anjali Sharma</t>
  </si>
  <si>
    <t>IT</t>
  </si>
  <si>
    <t>E007</t>
  </si>
  <si>
    <t>Karan Sharma</t>
  </si>
  <si>
    <t>E008</t>
  </si>
  <si>
    <t>Karan Shah</t>
  </si>
  <si>
    <t>Finance</t>
  </si>
  <si>
    <t>E009</t>
  </si>
  <si>
    <t>Karan Joshi</t>
  </si>
  <si>
    <t>E010</t>
  </si>
  <si>
    <t>Akash Mehta</t>
  </si>
  <si>
    <t>E011</t>
  </si>
  <si>
    <t>Sneha Sharma</t>
  </si>
  <si>
    <t>E012</t>
  </si>
  <si>
    <t>Vikas Jadhav</t>
  </si>
  <si>
    <t>Yes</t>
  </si>
  <si>
    <t>E013</t>
  </si>
  <si>
    <t>E014</t>
  </si>
  <si>
    <t>Priya Mehta</t>
  </si>
  <si>
    <t>E015</t>
  </si>
  <si>
    <t>Pooja Sharma</t>
  </si>
  <si>
    <t>E016</t>
  </si>
  <si>
    <t>Rohan Verma</t>
  </si>
  <si>
    <t>E017</t>
  </si>
  <si>
    <t>Aditya Shah</t>
  </si>
  <si>
    <t>E018</t>
  </si>
  <si>
    <t>Kavya Gupta</t>
  </si>
  <si>
    <t>E019</t>
  </si>
  <si>
    <t>Sneha Shah</t>
  </si>
  <si>
    <t>E020</t>
  </si>
  <si>
    <t>Meera Sharma</t>
  </si>
  <si>
    <t>E021</t>
  </si>
  <si>
    <t>Pooja Shah</t>
  </si>
  <si>
    <t>E022</t>
  </si>
  <si>
    <t>Kavya Verma</t>
  </si>
  <si>
    <t>E023</t>
  </si>
  <si>
    <t>Amit Gupta</t>
  </si>
  <si>
    <t>E024</t>
  </si>
  <si>
    <t>Akash Joshi</t>
  </si>
  <si>
    <t>E025</t>
  </si>
  <si>
    <t>Shweta Verma</t>
  </si>
  <si>
    <t>E026</t>
  </si>
  <si>
    <t>Aarti Joshi</t>
  </si>
  <si>
    <t>E027</t>
  </si>
  <si>
    <t>Karan Patil</t>
  </si>
  <si>
    <t>E028</t>
  </si>
  <si>
    <t>Vivek Singh</t>
  </si>
  <si>
    <t>E029</t>
  </si>
  <si>
    <t>Rohan Joshi</t>
  </si>
  <si>
    <t>E030</t>
  </si>
  <si>
    <t>Akash Verma</t>
  </si>
  <si>
    <t>E031</t>
  </si>
  <si>
    <t>Anjali Shah</t>
  </si>
  <si>
    <t>E032</t>
  </si>
  <si>
    <t>Amit Sharma</t>
  </si>
  <si>
    <t>E033</t>
  </si>
  <si>
    <t>Rahul Shah</t>
  </si>
  <si>
    <t>E034</t>
  </si>
  <si>
    <t>Meera Jadhav</t>
  </si>
  <si>
    <t>E035</t>
  </si>
  <si>
    <t>Neha Mehta</t>
  </si>
  <si>
    <t>E036</t>
  </si>
  <si>
    <t>E037</t>
  </si>
  <si>
    <t>Shweta Joshi</t>
  </si>
  <si>
    <t>E038</t>
  </si>
  <si>
    <t>Akash Patil</t>
  </si>
  <si>
    <t>E039</t>
  </si>
  <si>
    <t>E040</t>
  </si>
  <si>
    <t>Amit Mehta</t>
  </si>
  <si>
    <t>E041</t>
  </si>
  <si>
    <t>Karan Singh</t>
  </si>
  <si>
    <t>E042</t>
  </si>
  <si>
    <t>E043</t>
  </si>
  <si>
    <t>Shweta Kulkarni</t>
  </si>
  <si>
    <t>E044</t>
  </si>
  <si>
    <t>Aditya Kulkarni</t>
  </si>
  <si>
    <t>E045</t>
  </si>
  <si>
    <t>Meera Mehta</t>
  </si>
  <si>
    <t>E046</t>
  </si>
  <si>
    <t>Sneha Patil</t>
  </si>
  <si>
    <t>E047</t>
  </si>
  <si>
    <t>Aarti Jadhav</t>
  </si>
  <si>
    <t>E048</t>
  </si>
  <si>
    <t>E049</t>
  </si>
  <si>
    <t>Aarti Shah</t>
  </si>
  <si>
    <t>E050</t>
  </si>
  <si>
    <t>Meera Gupta</t>
  </si>
  <si>
    <t>E051</t>
  </si>
  <si>
    <t>E052</t>
  </si>
  <si>
    <t>Vikas Joshi</t>
  </si>
  <si>
    <t>E053</t>
  </si>
  <si>
    <t>Akash Shah</t>
  </si>
  <si>
    <t>E054</t>
  </si>
  <si>
    <t>Aarti Mehta</t>
  </si>
  <si>
    <t>E055</t>
  </si>
  <si>
    <t>Saurabh Gupta</t>
  </si>
  <si>
    <t>E056</t>
  </si>
  <si>
    <t>E057</t>
  </si>
  <si>
    <t>Vivek Mehta</t>
  </si>
  <si>
    <t>E058</t>
  </si>
  <si>
    <t>Sneha Singh</t>
  </si>
  <si>
    <t>E059</t>
  </si>
  <si>
    <t>Kavya Joshi</t>
  </si>
  <si>
    <t>E060</t>
  </si>
  <si>
    <t>Karan Gupta</t>
  </si>
  <si>
    <t>E061</t>
  </si>
  <si>
    <t>Akash Jadhav</t>
  </si>
  <si>
    <t>E062</t>
  </si>
  <si>
    <t>Priya Gupta</t>
  </si>
  <si>
    <t>E063</t>
  </si>
  <si>
    <t>E064</t>
  </si>
  <si>
    <t>E065</t>
  </si>
  <si>
    <t>Shweta Sharma</t>
  </si>
  <si>
    <t>E066</t>
  </si>
  <si>
    <t>Sneha Mehta</t>
  </si>
  <si>
    <t>E067</t>
  </si>
  <si>
    <t>E068</t>
  </si>
  <si>
    <t>E069</t>
  </si>
  <si>
    <t>E070</t>
  </si>
  <si>
    <t>E071</t>
  </si>
  <si>
    <t>Neha Singh</t>
  </si>
  <si>
    <t>E072</t>
  </si>
  <si>
    <t>Amit Singh</t>
  </si>
  <si>
    <t>E073</t>
  </si>
  <si>
    <t>Saurabh Joshi</t>
  </si>
  <si>
    <t>E074</t>
  </si>
  <si>
    <t>E075</t>
  </si>
  <si>
    <t>E076</t>
  </si>
  <si>
    <t>Rohan Gupta</t>
  </si>
  <si>
    <t>E077</t>
  </si>
  <si>
    <t>Neha Kulkarni</t>
  </si>
  <si>
    <t>E078</t>
  </si>
  <si>
    <t>Nikhil Jadhav</t>
  </si>
  <si>
    <t>E079</t>
  </si>
  <si>
    <t>Rahul Jadhav</t>
  </si>
  <si>
    <t>E080</t>
  </si>
  <si>
    <t>Anjali Verma</t>
  </si>
  <si>
    <t>E081</t>
  </si>
  <si>
    <t>Meera Patil</t>
  </si>
  <si>
    <t>E082</t>
  </si>
  <si>
    <t>E083</t>
  </si>
  <si>
    <t>Saurabh Shah</t>
  </si>
  <si>
    <t>E084</t>
  </si>
  <si>
    <t>E085</t>
  </si>
  <si>
    <t>Rutuja Jadhav</t>
  </si>
  <si>
    <t>E086</t>
  </si>
  <si>
    <t>Neha Sharma</t>
  </si>
  <si>
    <t>E087</t>
  </si>
  <si>
    <t>Aditya Verma</t>
  </si>
  <si>
    <t>E088</t>
  </si>
  <si>
    <t>E089</t>
  </si>
  <si>
    <t>Kavya Shah</t>
  </si>
  <si>
    <t>E090</t>
  </si>
  <si>
    <t>Kavya Sharma</t>
  </si>
  <si>
    <t>E091</t>
  </si>
  <si>
    <t>Meera Shah</t>
  </si>
  <si>
    <t>E092</t>
  </si>
  <si>
    <t>E093</t>
  </si>
  <si>
    <t>E094</t>
  </si>
  <si>
    <t>Rahul Mehta</t>
  </si>
  <si>
    <t>E095</t>
  </si>
  <si>
    <t>E096</t>
  </si>
  <si>
    <t>Karan Kulkarni</t>
  </si>
  <si>
    <t>E097</t>
  </si>
  <si>
    <t>Anjali Singh</t>
  </si>
  <si>
    <t>E098</t>
  </si>
  <si>
    <t>Akash Gupta</t>
  </si>
  <si>
    <t>E099</t>
  </si>
  <si>
    <t>Shweta Shah</t>
  </si>
  <si>
    <t>E100</t>
  </si>
  <si>
    <t>Metric</t>
  </si>
  <si>
    <t>Value</t>
  </si>
  <si>
    <t>Total Employees</t>
  </si>
  <si>
    <t>Employees Left</t>
  </si>
  <si>
    <t>Attrition Rate</t>
  </si>
  <si>
    <t>Average Salary</t>
  </si>
  <si>
    <t>Average Performance</t>
  </si>
  <si>
    <t>Male Employees</t>
  </si>
  <si>
    <t>Female Employees</t>
  </si>
  <si>
    <t>Grand Total</t>
  </si>
  <si>
    <t>Count of Emp ID</t>
  </si>
  <si>
    <t>Average of Performance Rating</t>
  </si>
  <si>
    <t>Average of Salary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</si>
</sst>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applyBorder="1"/>
    <xf numFmtId="0" fontId="0" fillId="0" borderId="0" xfId="0" applyBorder="1"/>
  </cellXfs>
  <cellStyles count="1">
    <cellStyle name="Normal" xfId="0" builtinId="0"/>
  </cellStyles>
  <dxfs count="6">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auto="1"/>
        <name val="Calibri"/>
        <scheme val="none"/>
      </font>
    </dxf>
    <dxf>
      <numFmt numFmtId="164" formatCode="yyyy\-mm\-dd"/>
    </dxf>
    <dxf>
      <font>
        <b/>
        <i val="0"/>
        <strike val="0"/>
        <condense val="0"/>
        <extend val="0"/>
        <outline val="0"/>
        <shadow val="0"/>
        <u val="none"/>
        <vertAlign val="baseline"/>
        <sz val="11"/>
        <color auto="1"/>
        <name val="Calibri"/>
        <scheme val="none"/>
      </font>
    </dxf>
    <dxf>
      <fill>
        <patternFill>
          <bgColor rgb="FFFF0000"/>
        </patternFill>
      </fill>
    </dxf>
    <dxf>
      <fill>
        <patternFill>
          <bgColor rgb="FF92D050"/>
        </patternFill>
      </fill>
    </dxf>
  </dxfs>
  <tableStyles count="2" defaultTableStyle="TableStyleMedium9" defaultPivotStyle="PivotStyleLight16">
    <tableStyle name="Slicer Style 1" pivot="0" table="0" count="0"/>
    <tableStyle name="Slicer Style 2" pivot="0" table="0" count="0"/>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Dashboard.xlsx]Sheet3!PivotTable2</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Finance</c:v>
                </c:pt>
                <c:pt idx="1">
                  <c:v>HR</c:v>
                </c:pt>
                <c:pt idx="2">
                  <c:v>IT</c:v>
                </c:pt>
                <c:pt idx="3">
                  <c:v>Marketing</c:v>
                </c:pt>
                <c:pt idx="4">
                  <c:v>Sales</c:v>
                </c:pt>
              </c:strCache>
            </c:strRef>
          </c:cat>
          <c:val>
            <c:numRef>
              <c:f>Sheet3!$B$4:$B$9</c:f>
              <c:numCache>
                <c:formatCode>General</c:formatCode>
                <c:ptCount val="5"/>
                <c:pt idx="0">
                  <c:v>15</c:v>
                </c:pt>
                <c:pt idx="1">
                  <c:v>23</c:v>
                </c:pt>
                <c:pt idx="2">
                  <c:v>21</c:v>
                </c:pt>
                <c:pt idx="3">
                  <c:v>22</c:v>
                </c:pt>
                <c:pt idx="4">
                  <c:v>19</c:v>
                </c:pt>
              </c:numCache>
            </c:numRef>
          </c:val>
          <c:extLst xmlns:c16r2="http://schemas.microsoft.com/office/drawing/2015/06/chart">
            <c:ext xmlns:c16="http://schemas.microsoft.com/office/drawing/2014/chart" uri="{C3380CC4-5D6E-409C-BE32-E72D297353CC}">
              <c16:uniqueId val="{00000000-FD48-473F-B1C5-ECD7DDE29666}"/>
            </c:ext>
          </c:extLst>
        </c:ser>
        <c:dLbls>
          <c:dLblPos val="outEnd"/>
          <c:showLegendKey val="0"/>
          <c:showVal val="1"/>
          <c:showCatName val="0"/>
          <c:showSerName val="0"/>
          <c:showPercent val="0"/>
          <c:showBubbleSize val="0"/>
        </c:dLbls>
        <c:gapWidth val="219"/>
        <c:overlap val="-27"/>
        <c:axId val="-1561609584"/>
        <c:axId val="-1561618288"/>
      </c:barChart>
      <c:catAx>
        <c:axId val="-156160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18288"/>
        <c:crosses val="autoZero"/>
        <c:auto val="1"/>
        <c:lblAlgn val="ctr"/>
        <c:lblOffset val="100"/>
        <c:noMultiLvlLbl val="0"/>
      </c:catAx>
      <c:valAx>
        <c:axId val="-156161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09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Dashboard.xlsx]Sheet3!PivotTable4</c:name>
    <c:fmtId val="0"/>
  </c:pivotSource>
  <c:chart>
    <c:autoTitleDeleted val="1"/>
    <c:pivotFmts>
      <c:pivotFmt>
        <c:idx val="0"/>
        <c:spPr>
          <a:solidFill>
            <a:srgbClr val="92D050"/>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solidFill>
            <a:srgbClr val="0070C0"/>
          </a:solidFill>
          <a:ln w="19050">
            <a:solidFill>
              <a:schemeClr val="lt1"/>
            </a:solidFill>
          </a:ln>
          <a:effectLst/>
        </c:spPr>
      </c:pivotFmt>
      <c:pivotFmt>
        <c:idx val="2"/>
        <c:spPr>
          <a:solidFill>
            <a:srgbClr val="92D050"/>
          </a:solidFill>
          <a:ln w="19050">
            <a:solidFill>
              <a:schemeClr val="lt1"/>
            </a:solidFill>
          </a:ln>
          <a:effectLst/>
        </c:spPr>
      </c:pivotFmt>
    </c:pivotFmts>
    <c:plotArea>
      <c:layout/>
      <c:pieChart>
        <c:varyColors val="1"/>
        <c:ser>
          <c:idx val="0"/>
          <c:order val="0"/>
          <c:tx>
            <c:strRef>
              <c:f>Sheet3!$E$3</c:f>
              <c:strCache>
                <c:ptCount val="1"/>
                <c:pt idx="0">
                  <c:v>Total</c:v>
                </c:pt>
              </c:strCache>
            </c:strRef>
          </c:tx>
          <c:spPr>
            <a:solidFill>
              <a:srgbClr val="92D050"/>
            </a:solidFill>
          </c:spPr>
          <c:dPt>
            <c:idx val="0"/>
            <c:bubble3D val="0"/>
            <c:spPr>
              <a:solidFill>
                <a:srgbClr val="0070C0"/>
              </a:solidFill>
              <a:ln w="19050">
                <a:solidFill>
                  <a:schemeClr val="lt1"/>
                </a:solidFill>
              </a:ln>
              <a:effectLst/>
            </c:spPr>
            <c:extLst xmlns:c16r2="http://schemas.microsoft.com/office/drawing/2015/06/chart">
              <c:ext xmlns:c16="http://schemas.microsoft.com/office/drawing/2014/chart" uri="{C3380CC4-5D6E-409C-BE32-E72D297353CC}">
                <c16:uniqueId val="{00000002-E2EC-4FFA-8812-15636038A49D}"/>
              </c:ext>
            </c:extLst>
          </c:dPt>
          <c:dPt>
            <c:idx val="1"/>
            <c:bubble3D val="0"/>
            <c:spPr>
              <a:solidFill>
                <a:srgbClr val="92D05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Sheet3!$D$4:$D$6</c:f>
              <c:strCache>
                <c:ptCount val="2"/>
                <c:pt idx="0">
                  <c:v>Female</c:v>
                </c:pt>
                <c:pt idx="1">
                  <c:v>Male</c:v>
                </c:pt>
              </c:strCache>
            </c:strRef>
          </c:cat>
          <c:val>
            <c:numRef>
              <c:f>Sheet3!$E$4:$E$6</c:f>
              <c:numCache>
                <c:formatCode>General</c:formatCode>
                <c:ptCount val="2"/>
                <c:pt idx="0">
                  <c:v>52</c:v>
                </c:pt>
                <c:pt idx="1">
                  <c:v>48</c:v>
                </c:pt>
              </c:numCache>
            </c:numRef>
          </c:val>
          <c:extLst xmlns:c16r2="http://schemas.microsoft.com/office/drawing/2015/06/chart">
            <c:ext xmlns:c16="http://schemas.microsoft.com/office/drawing/2014/chart" uri="{C3380CC4-5D6E-409C-BE32-E72D297353CC}">
              <c16:uniqueId val="{00000000-E2EC-4FFA-8812-15636038A49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Dashboard.xlsx]Sheet3!PivotTable5</c:name>
    <c:fmtId val="0"/>
  </c:pivotSource>
  <c:chart>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stacked"/>
        <c:varyColors val="0"/>
        <c:ser>
          <c:idx val="0"/>
          <c:order val="0"/>
          <c:tx>
            <c:strRef>
              <c:f>Sheet3!$H$3:$H$4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Sheet3!$G$5:$G$10</c:f>
              <c:strCache>
                <c:ptCount val="5"/>
                <c:pt idx="0">
                  <c:v>Finance</c:v>
                </c:pt>
                <c:pt idx="1">
                  <c:v>HR</c:v>
                </c:pt>
                <c:pt idx="2">
                  <c:v>IT</c:v>
                </c:pt>
                <c:pt idx="3">
                  <c:v>Marketing</c:v>
                </c:pt>
                <c:pt idx="4">
                  <c:v>Sales</c:v>
                </c:pt>
              </c:strCache>
            </c:strRef>
          </c:cat>
          <c:val>
            <c:numRef>
              <c:f>Sheet3!$H$5:$H$10</c:f>
              <c:numCache>
                <c:formatCode>General</c:formatCode>
                <c:ptCount val="5"/>
                <c:pt idx="0">
                  <c:v>15</c:v>
                </c:pt>
                <c:pt idx="1">
                  <c:v>20</c:v>
                </c:pt>
                <c:pt idx="2">
                  <c:v>18</c:v>
                </c:pt>
                <c:pt idx="3">
                  <c:v>19</c:v>
                </c:pt>
                <c:pt idx="4">
                  <c:v>16</c:v>
                </c:pt>
              </c:numCache>
            </c:numRef>
          </c:val>
          <c:extLst xmlns:c16r2="http://schemas.microsoft.com/office/drawing/2015/06/chart">
            <c:ext xmlns:c16="http://schemas.microsoft.com/office/drawing/2014/chart" uri="{C3380CC4-5D6E-409C-BE32-E72D297353CC}">
              <c16:uniqueId val="{00000000-4175-4692-818B-47952D75186B}"/>
            </c:ext>
          </c:extLst>
        </c:ser>
        <c:ser>
          <c:idx val="1"/>
          <c:order val="1"/>
          <c:tx>
            <c:strRef>
              <c:f>Sheet3!$I$3:$I$4</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Sheet3!$G$5:$G$10</c:f>
              <c:strCache>
                <c:ptCount val="5"/>
                <c:pt idx="0">
                  <c:v>Finance</c:v>
                </c:pt>
                <c:pt idx="1">
                  <c:v>HR</c:v>
                </c:pt>
                <c:pt idx="2">
                  <c:v>IT</c:v>
                </c:pt>
                <c:pt idx="3">
                  <c:v>Marketing</c:v>
                </c:pt>
                <c:pt idx="4">
                  <c:v>Sales</c:v>
                </c:pt>
              </c:strCache>
            </c:strRef>
          </c:cat>
          <c:val>
            <c:numRef>
              <c:f>Sheet3!$I$5:$I$10</c:f>
              <c:numCache>
                <c:formatCode>General</c:formatCode>
                <c:ptCount val="5"/>
                <c:pt idx="1">
                  <c:v>3</c:v>
                </c:pt>
                <c:pt idx="2">
                  <c:v>3</c:v>
                </c:pt>
                <c:pt idx="3">
                  <c:v>3</c:v>
                </c:pt>
                <c:pt idx="4">
                  <c:v>3</c:v>
                </c:pt>
              </c:numCache>
            </c:numRef>
          </c:val>
          <c:extLst xmlns:c16r2="http://schemas.microsoft.com/office/drawing/2015/06/chart">
            <c:ext xmlns:c16="http://schemas.microsoft.com/office/drawing/2014/chart" uri="{C3380CC4-5D6E-409C-BE32-E72D297353CC}">
              <c16:uniqueId val="{00000001-4175-4692-818B-47952D75186B}"/>
            </c:ext>
          </c:extLst>
        </c:ser>
        <c:dLbls>
          <c:dLblPos val="ctr"/>
          <c:showLegendKey val="0"/>
          <c:showVal val="1"/>
          <c:showCatName val="0"/>
          <c:showSerName val="0"/>
          <c:showPercent val="0"/>
          <c:showBubbleSize val="0"/>
        </c:dLbls>
        <c:gapWidth val="150"/>
        <c:overlap val="100"/>
        <c:axId val="-1561613936"/>
        <c:axId val="-1561615568"/>
      </c:barChart>
      <c:catAx>
        <c:axId val="-156161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15568"/>
        <c:crosses val="autoZero"/>
        <c:auto val="1"/>
        <c:lblAlgn val="ctr"/>
        <c:lblOffset val="100"/>
        <c:noMultiLvlLbl val="0"/>
      </c:catAx>
      <c:valAx>
        <c:axId val="-1561615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13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Dashboard.xlsx]Sheet3!PivotTable7</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stacked"/>
        <c:varyColors val="0"/>
        <c:ser>
          <c:idx val="0"/>
          <c:order val="0"/>
          <c:tx>
            <c:strRef>
              <c:f>Sheet3!$B$12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Sheet3!$A$13:$A$18</c:f>
              <c:strCache>
                <c:ptCount val="5"/>
                <c:pt idx="0">
                  <c:v>Finance</c:v>
                </c:pt>
                <c:pt idx="1">
                  <c:v>HR</c:v>
                </c:pt>
                <c:pt idx="2">
                  <c:v>IT</c:v>
                </c:pt>
                <c:pt idx="3">
                  <c:v>Marketing</c:v>
                </c:pt>
                <c:pt idx="4">
                  <c:v>Sales</c:v>
                </c:pt>
              </c:strCache>
            </c:strRef>
          </c:cat>
          <c:val>
            <c:numRef>
              <c:f>Sheet3!$B$13:$B$18</c:f>
              <c:numCache>
                <c:formatCode>General</c:formatCode>
                <c:ptCount val="5"/>
                <c:pt idx="0">
                  <c:v>3.4</c:v>
                </c:pt>
                <c:pt idx="1">
                  <c:v>3.5652173913043477</c:v>
                </c:pt>
                <c:pt idx="2">
                  <c:v>3.3809523809523809</c:v>
                </c:pt>
                <c:pt idx="3">
                  <c:v>3.6818181818181817</c:v>
                </c:pt>
                <c:pt idx="4">
                  <c:v>4.0526315789473681</c:v>
                </c:pt>
              </c:numCache>
            </c:numRef>
          </c:val>
          <c:extLst xmlns:c16r2="http://schemas.microsoft.com/office/drawing/2015/06/chart">
            <c:ext xmlns:c16="http://schemas.microsoft.com/office/drawing/2014/chart" uri="{C3380CC4-5D6E-409C-BE32-E72D297353CC}">
              <c16:uniqueId val="{00000000-9721-4D69-AE25-26BDB6EEAA61}"/>
            </c:ext>
          </c:extLst>
        </c:ser>
        <c:dLbls>
          <c:dLblPos val="ctr"/>
          <c:showLegendKey val="0"/>
          <c:showVal val="1"/>
          <c:showCatName val="0"/>
          <c:showSerName val="0"/>
          <c:showPercent val="0"/>
          <c:showBubbleSize val="0"/>
        </c:dLbls>
        <c:gapWidth val="150"/>
        <c:overlap val="100"/>
        <c:axId val="-1561615024"/>
        <c:axId val="-1561610128"/>
      </c:barChart>
      <c:catAx>
        <c:axId val="-15616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10128"/>
        <c:crosses val="autoZero"/>
        <c:auto val="1"/>
        <c:lblAlgn val="ctr"/>
        <c:lblOffset val="100"/>
        <c:noMultiLvlLbl val="0"/>
      </c:catAx>
      <c:valAx>
        <c:axId val="-156161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1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Dashboard.xlsx]Sheet3!PivotTable8</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Sheet3!$E$12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Sheet3!$D$13:$D$18</c:f>
              <c:strCache>
                <c:ptCount val="5"/>
                <c:pt idx="0">
                  <c:v>Finance</c:v>
                </c:pt>
                <c:pt idx="1">
                  <c:v>HR</c:v>
                </c:pt>
                <c:pt idx="2">
                  <c:v>IT</c:v>
                </c:pt>
                <c:pt idx="3">
                  <c:v>Marketing</c:v>
                </c:pt>
                <c:pt idx="4">
                  <c:v>Sales</c:v>
                </c:pt>
              </c:strCache>
            </c:strRef>
          </c:cat>
          <c:val>
            <c:numRef>
              <c:f>Sheet3!$E$13:$E$18</c:f>
              <c:numCache>
                <c:formatCode>General</c:formatCode>
                <c:ptCount val="5"/>
                <c:pt idx="0">
                  <c:v>56866.2</c:v>
                </c:pt>
                <c:pt idx="1">
                  <c:v>66974.521739130432</c:v>
                </c:pt>
                <c:pt idx="2">
                  <c:v>62301.619047619046</c:v>
                </c:pt>
                <c:pt idx="3">
                  <c:v>61284.772727272728</c:v>
                </c:pt>
                <c:pt idx="4">
                  <c:v>59696</c:v>
                </c:pt>
              </c:numCache>
            </c:numRef>
          </c:val>
          <c:extLst xmlns:c16r2="http://schemas.microsoft.com/office/drawing/2015/06/chart">
            <c:ext xmlns:c16="http://schemas.microsoft.com/office/drawing/2014/chart" uri="{C3380CC4-5D6E-409C-BE32-E72D297353CC}">
              <c16:uniqueId val="{00000000-B2EF-48C1-8C6F-90D6AE4F819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Dashboard.xlsx]Sheet3!PivotTable2</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B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Finance</c:v>
                </c:pt>
                <c:pt idx="1">
                  <c:v>HR</c:v>
                </c:pt>
                <c:pt idx="2">
                  <c:v>IT</c:v>
                </c:pt>
                <c:pt idx="3">
                  <c:v>Marketing</c:v>
                </c:pt>
                <c:pt idx="4">
                  <c:v>Sales</c:v>
                </c:pt>
              </c:strCache>
            </c:strRef>
          </c:cat>
          <c:val>
            <c:numRef>
              <c:f>Sheet3!$B$4:$B$9</c:f>
              <c:numCache>
                <c:formatCode>General</c:formatCode>
                <c:ptCount val="5"/>
                <c:pt idx="0">
                  <c:v>15</c:v>
                </c:pt>
                <c:pt idx="1">
                  <c:v>23</c:v>
                </c:pt>
                <c:pt idx="2">
                  <c:v>21</c:v>
                </c:pt>
                <c:pt idx="3">
                  <c:v>22</c:v>
                </c:pt>
                <c:pt idx="4">
                  <c:v>19</c:v>
                </c:pt>
              </c:numCache>
            </c:numRef>
          </c:val>
          <c:extLst xmlns:c16r2="http://schemas.microsoft.com/office/drawing/2015/06/chart">
            <c:ext xmlns:c16="http://schemas.microsoft.com/office/drawing/2014/chart" uri="{C3380CC4-5D6E-409C-BE32-E72D297353CC}">
              <c16:uniqueId val="{00000000-AD2F-4536-93D5-4BD32EF65C2E}"/>
            </c:ext>
          </c:extLst>
        </c:ser>
        <c:dLbls>
          <c:showLegendKey val="0"/>
          <c:showVal val="0"/>
          <c:showCatName val="0"/>
          <c:showSerName val="0"/>
          <c:showPercent val="0"/>
          <c:showBubbleSize val="0"/>
        </c:dLbls>
        <c:gapWidth val="219"/>
        <c:overlap val="-27"/>
        <c:axId val="-1561612848"/>
        <c:axId val="-1561614480"/>
      </c:barChart>
      <c:catAx>
        <c:axId val="-156161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14480"/>
        <c:crosses val="autoZero"/>
        <c:auto val="1"/>
        <c:lblAlgn val="ctr"/>
        <c:lblOffset val="100"/>
        <c:noMultiLvlLbl val="0"/>
      </c:catAx>
      <c:valAx>
        <c:axId val="-156161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1284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Dashboard.xlsx]Sheet3!PivotTable4</c:name>
    <c:fmtId val="9"/>
  </c:pivotSource>
  <c:chart>
    <c:autoTitleDeleted val="1"/>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0070C0"/>
          </a:solidFill>
          <a:ln w="19050">
            <a:solidFill>
              <a:schemeClr val="lt1"/>
            </a:solidFill>
          </a:ln>
          <a:effectLst/>
        </c:spPr>
      </c:pivotFmt>
      <c:pivotFmt>
        <c:idx val="4"/>
        <c:spPr>
          <a:solidFill>
            <a:srgbClr val="92D050"/>
          </a:solidFill>
          <a:ln w="19050">
            <a:solidFill>
              <a:schemeClr val="lt1"/>
            </a:solidFill>
          </a:ln>
          <a:effectLst/>
        </c:spPr>
      </c:pivotFmt>
      <c:pivotFmt>
        <c:idx val="5"/>
        <c:spPr>
          <a:solidFill>
            <a:srgbClr val="92D050"/>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solidFill>
            <a:srgbClr val="0070C0"/>
          </a:solidFill>
          <a:ln w="19050">
            <a:solidFill>
              <a:schemeClr val="lt1"/>
            </a:solidFill>
          </a:ln>
          <a:effectLst/>
        </c:spPr>
      </c:pivotFmt>
      <c:pivotFmt>
        <c:idx val="7"/>
        <c:spPr>
          <a:solidFill>
            <a:srgbClr val="92D050"/>
          </a:solidFill>
          <a:ln w="19050">
            <a:solidFill>
              <a:schemeClr val="lt1"/>
            </a:solidFill>
          </a:ln>
          <a:effectLst/>
        </c:spPr>
      </c:pivotFmt>
    </c:pivotFmts>
    <c:plotArea>
      <c:layout/>
      <c:pieChart>
        <c:varyColors val="1"/>
        <c:ser>
          <c:idx val="0"/>
          <c:order val="0"/>
          <c:tx>
            <c:strRef>
              <c:f>Sheet3!$E$3</c:f>
              <c:strCache>
                <c:ptCount val="1"/>
                <c:pt idx="0">
                  <c:v>Total</c:v>
                </c:pt>
              </c:strCache>
            </c:strRef>
          </c:tx>
          <c:spPr>
            <a:solidFill>
              <a:srgbClr val="92D050"/>
            </a:solidFill>
          </c:spPr>
          <c:dPt>
            <c:idx val="0"/>
            <c:bubble3D val="0"/>
            <c:spPr>
              <a:solidFill>
                <a:srgbClr val="0070C0"/>
              </a:solidFill>
              <a:ln w="19050">
                <a:solidFill>
                  <a:schemeClr val="lt1"/>
                </a:solidFill>
              </a:ln>
              <a:effectLst/>
            </c:spPr>
            <c:extLst xmlns:c16r2="http://schemas.microsoft.com/office/drawing/2015/06/chart">
              <c:ext xmlns:c16="http://schemas.microsoft.com/office/drawing/2014/chart" uri="{C3380CC4-5D6E-409C-BE32-E72D297353CC}">
                <c16:uniqueId val="{00000001-A73C-40CB-8911-CB6E64FC9E3B}"/>
              </c:ext>
            </c:extLst>
          </c:dPt>
          <c:dPt>
            <c:idx val="1"/>
            <c:bubble3D val="0"/>
            <c:spPr>
              <a:solidFill>
                <a:srgbClr val="92D050"/>
              </a:solidFill>
              <a:ln w="19050">
                <a:solidFill>
                  <a:schemeClr val="lt1"/>
                </a:solidFill>
              </a:ln>
              <a:effectLst/>
            </c:spPr>
            <c:extLst xmlns:c16r2="http://schemas.microsoft.com/office/drawing/2015/06/chart">
              <c:ext xmlns:c16="http://schemas.microsoft.com/office/drawing/2014/chart" uri="{C3380CC4-5D6E-409C-BE32-E72D297353CC}">
                <c16:uniqueId val="{00000003-A73C-40CB-8911-CB6E64FC9E3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Sheet3!$D$4:$D$6</c:f>
              <c:strCache>
                <c:ptCount val="2"/>
                <c:pt idx="0">
                  <c:v>Female</c:v>
                </c:pt>
                <c:pt idx="1">
                  <c:v>Male</c:v>
                </c:pt>
              </c:strCache>
            </c:strRef>
          </c:cat>
          <c:val>
            <c:numRef>
              <c:f>Sheet3!$E$4:$E$6</c:f>
              <c:numCache>
                <c:formatCode>General</c:formatCode>
                <c:ptCount val="2"/>
                <c:pt idx="0">
                  <c:v>52</c:v>
                </c:pt>
                <c:pt idx="1">
                  <c:v>48</c:v>
                </c:pt>
              </c:numCache>
            </c:numRef>
          </c:val>
          <c:extLst xmlns:c16r2="http://schemas.microsoft.com/office/drawing/2015/06/chart">
            <c:ext xmlns:c16="http://schemas.microsoft.com/office/drawing/2014/chart" uri="{C3380CC4-5D6E-409C-BE32-E72D297353CC}">
              <c16:uniqueId val="{00000004-A73C-40CB-8911-CB6E64FC9E3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solidFill>
            <a:srgbClr val="00B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stacked"/>
        <c:varyColors val="0"/>
        <c:ser>
          <c:idx val="0"/>
          <c:order val="0"/>
          <c:tx>
            <c:strRef>
              <c:f>Sheet3!$H$3:$H$4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Sheet3!$G$5:$G$10</c:f>
              <c:strCache>
                <c:ptCount val="5"/>
                <c:pt idx="0">
                  <c:v>Finance</c:v>
                </c:pt>
                <c:pt idx="1">
                  <c:v>HR</c:v>
                </c:pt>
                <c:pt idx="2">
                  <c:v>IT</c:v>
                </c:pt>
                <c:pt idx="3">
                  <c:v>Marketing</c:v>
                </c:pt>
                <c:pt idx="4">
                  <c:v>Sales</c:v>
                </c:pt>
              </c:strCache>
            </c:strRef>
          </c:cat>
          <c:val>
            <c:numRef>
              <c:f>Sheet3!$H$5:$H$10</c:f>
              <c:numCache>
                <c:formatCode>General</c:formatCode>
                <c:ptCount val="5"/>
                <c:pt idx="0">
                  <c:v>15</c:v>
                </c:pt>
                <c:pt idx="1">
                  <c:v>20</c:v>
                </c:pt>
                <c:pt idx="2">
                  <c:v>18</c:v>
                </c:pt>
                <c:pt idx="3">
                  <c:v>19</c:v>
                </c:pt>
                <c:pt idx="4">
                  <c:v>16</c:v>
                </c:pt>
              </c:numCache>
            </c:numRef>
          </c:val>
          <c:extLst xmlns:c16r2="http://schemas.microsoft.com/office/drawing/2015/06/chart">
            <c:ext xmlns:c16="http://schemas.microsoft.com/office/drawing/2014/chart" uri="{C3380CC4-5D6E-409C-BE32-E72D297353CC}">
              <c16:uniqueId val="{00000000-C017-483F-AF8B-10BAB2E3CA84}"/>
            </c:ext>
          </c:extLst>
        </c:ser>
        <c:ser>
          <c:idx val="1"/>
          <c:order val="1"/>
          <c:tx>
            <c:strRef>
              <c:f>Sheet3!$I$3:$I$4</c:f>
              <c:strCache>
                <c:ptCount val="1"/>
                <c:pt idx="0">
                  <c:v>Yes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Sheet3!$G$5:$G$10</c:f>
              <c:strCache>
                <c:ptCount val="5"/>
                <c:pt idx="0">
                  <c:v>Finance</c:v>
                </c:pt>
                <c:pt idx="1">
                  <c:v>HR</c:v>
                </c:pt>
                <c:pt idx="2">
                  <c:v>IT</c:v>
                </c:pt>
                <c:pt idx="3">
                  <c:v>Marketing</c:v>
                </c:pt>
                <c:pt idx="4">
                  <c:v>Sales</c:v>
                </c:pt>
              </c:strCache>
            </c:strRef>
          </c:cat>
          <c:val>
            <c:numRef>
              <c:f>Sheet3!$I$5:$I$10</c:f>
              <c:numCache>
                <c:formatCode>General</c:formatCode>
                <c:ptCount val="5"/>
                <c:pt idx="1">
                  <c:v>3</c:v>
                </c:pt>
                <c:pt idx="2">
                  <c:v>3</c:v>
                </c:pt>
                <c:pt idx="3">
                  <c:v>3</c:v>
                </c:pt>
                <c:pt idx="4">
                  <c:v>3</c:v>
                </c:pt>
              </c:numCache>
            </c:numRef>
          </c:val>
          <c:extLst xmlns:c16r2="http://schemas.microsoft.com/office/drawing/2015/06/chart">
            <c:ext xmlns:c16="http://schemas.microsoft.com/office/drawing/2014/chart" uri="{C3380CC4-5D6E-409C-BE32-E72D297353CC}">
              <c16:uniqueId val="{00000001-C017-483F-AF8B-10BAB2E3CA84}"/>
            </c:ext>
          </c:extLst>
        </c:ser>
        <c:dLbls>
          <c:dLblPos val="ctr"/>
          <c:showLegendKey val="0"/>
          <c:showVal val="1"/>
          <c:showCatName val="0"/>
          <c:showSerName val="0"/>
          <c:showPercent val="0"/>
          <c:showBubbleSize val="0"/>
        </c:dLbls>
        <c:gapWidth val="150"/>
        <c:overlap val="100"/>
        <c:axId val="-1561611760"/>
        <c:axId val="-1561609040"/>
      </c:barChart>
      <c:catAx>
        <c:axId val="-156161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09040"/>
        <c:crosses val="autoZero"/>
        <c:auto val="1"/>
        <c:lblAlgn val="ctr"/>
        <c:lblOffset val="100"/>
        <c:noMultiLvlLbl val="0"/>
      </c:catAx>
      <c:valAx>
        <c:axId val="-1561609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117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Sheet3!$B$12</c:f>
              <c:strCache>
                <c:ptCount val="1"/>
                <c:pt idx="0">
                  <c:v>Total</c:v>
                </c:pt>
              </c:strCache>
            </c:strRef>
          </c:tx>
          <c:spPr>
            <a:solidFill>
              <a:schemeClr val="accent1"/>
            </a:solidFill>
            <a:ln>
              <a:noFill/>
            </a:ln>
            <a:effectLst/>
          </c:spPr>
          <c:invertIfNegative val="0"/>
          <c:dLbls>
            <c:delete val="1"/>
          </c:dLbls>
          <c:cat>
            <c:strRef>
              <c:f>Sheet3!$A$13:$A$18</c:f>
              <c:strCache>
                <c:ptCount val="5"/>
                <c:pt idx="0">
                  <c:v>Finance</c:v>
                </c:pt>
                <c:pt idx="1">
                  <c:v>HR</c:v>
                </c:pt>
                <c:pt idx="2">
                  <c:v>IT</c:v>
                </c:pt>
                <c:pt idx="3">
                  <c:v>Marketing</c:v>
                </c:pt>
                <c:pt idx="4">
                  <c:v>Sales</c:v>
                </c:pt>
              </c:strCache>
            </c:strRef>
          </c:cat>
          <c:val>
            <c:numRef>
              <c:f>Sheet3!$B$13:$B$18</c:f>
              <c:numCache>
                <c:formatCode>General</c:formatCode>
                <c:ptCount val="5"/>
                <c:pt idx="0">
                  <c:v>3.4</c:v>
                </c:pt>
                <c:pt idx="1">
                  <c:v>3.5652173913043477</c:v>
                </c:pt>
                <c:pt idx="2">
                  <c:v>3.3809523809523809</c:v>
                </c:pt>
                <c:pt idx="3">
                  <c:v>3.6818181818181817</c:v>
                </c:pt>
                <c:pt idx="4">
                  <c:v>4.0526315789473681</c:v>
                </c:pt>
              </c:numCache>
            </c:numRef>
          </c:val>
          <c:extLst xmlns:c16r2="http://schemas.microsoft.com/office/drawing/2015/06/chart">
            <c:ext xmlns:c16="http://schemas.microsoft.com/office/drawing/2014/chart" uri="{C3380CC4-5D6E-409C-BE32-E72D297353CC}">
              <c16:uniqueId val="{00000000-B0A6-4453-90BC-338F23A07AF1}"/>
            </c:ext>
          </c:extLst>
        </c:ser>
        <c:dLbls>
          <c:dLblPos val="ctr"/>
          <c:showLegendKey val="0"/>
          <c:showVal val="1"/>
          <c:showCatName val="0"/>
          <c:showSerName val="0"/>
          <c:showPercent val="0"/>
          <c:showBubbleSize val="0"/>
        </c:dLbls>
        <c:gapWidth val="150"/>
        <c:overlap val="100"/>
        <c:axId val="-1561613392"/>
        <c:axId val="-1561606864"/>
      </c:barChart>
      <c:catAx>
        <c:axId val="-156161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06864"/>
        <c:crosses val="autoZero"/>
        <c:auto val="1"/>
        <c:lblAlgn val="ctr"/>
        <c:lblOffset val="100"/>
        <c:noMultiLvlLbl val="0"/>
      </c:catAx>
      <c:valAx>
        <c:axId val="-156160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133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Dashboard.xlsx]Sheet3!PivotTable8</c:name>
    <c:fmtId val="5"/>
  </c:pivotSource>
  <c:chart>
    <c:autoTitleDeleted val="1"/>
    <c:pivotFmts>
      <c:pivotFmt>
        <c:idx val="0"/>
        <c:dLbl>
          <c:idx val="0"/>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6798087026290484E-2"/>
              <c:y val="-3.535353254167401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4111826673371276"/>
                  <c:h val="0.21113129633887726"/>
                </c:manualLayout>
              </c15:layout>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0035841916261041E-2"/>
              <c:y val="0"/>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476927177981838"/>
                  <c:h val="0.22124240664579603"/>
                </c:manualLayout>
              </c15:layout>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Sheet3!$E$12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1-4BE7-4833-B42E-BDFED6CDC3F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3-4BE7-4833-B42E-BDFED6CDC3F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5-4BE7-4833-B42E-BDFED6CDC3F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7-4BE7-4833-B42E-BDFED6CDC3F9}"/>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xmlns:c16r2="http://schemas.microsoft.com/office/drawing/2015/06/chart">
              <c:ext xmlns:c16="http://schemas.microsoft.com/office/drawing/2014/chart" uri="{C3380CC4-5D6E-409C-BE32-E72D297353CC}">
                <c16:uniqueId val="{00000009-4BE7-4833-B42E-BDFED6CDC3F9}"/>
              </c:ext>
            </c:extLst>
          </c:dPt>
          <c:dLbls>
            <c:dLbl>
              <c:idx val="0"/>
              <c:layout>
                <c:manualLayout>
                  <c:x val="-3.6798087026290484E-2"/>
                  <c:y val="-3.535353254167401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4111826673371276"/>
                      <c:h val="0.21113129633887726"/>
                    </c:manualLayout>
                  </c15:layout>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dLbl>
            <c:dLbl>
              <c:idx val="2"/>
              <c:layout>
                <c:manualLayout>
                  <c:x val="1.0035841916261041E-2"/>
                  <c:y val="0"/>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spc="0" baseline="0">
                      <a:solidFill>
                        <a:schemeClr val="accent3"/>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476927177981838"/>
                      <c:h val="0.22124240664579603"/>
                    </c:manualLayout>
                  </c15:layout>
                </c:ext>
              </c:extLst>
            </c:dLbl>
            <c:dLbl>
              <c:idx val="3"/>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dLbl>
            <c:dLbl>
              <c:idx val="4"/>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Sheet3!$D$13:$D$18</c:f>
              <c:strCache>
                <c:ptCount val="5"/>
                <c:pt idx="0">
                  <c:v>Finance</c:v>
                </c:pt>
                <c:pt idx="1">
                  <c:v>HR</c:v>
                </c:pt>
                <c:pt idx="2">
                  <c:v>IT</c:v>
                </c:pt>
                <c:pt idx="3">
                  <c:v>Marketing</c:v>
                </c:pt>
                <c:pt idx="4">
                  <c:v>Sales</c:v>
                </c:pt>
              </c:strCache>
            </c:strRef>
          </c:cat>
          <c:val>
            <c:numRef>
              <c:f>Sheet3!$E$13:$E$18</c:f>
              <c:numCache>
                <c:formatCode>General</c:formatCode>
                <c:ptCount val="5"/>
                <c:pt idx="0">
                  <c:v>56866.2</c:v>
                </c:pt>
                <c:pt idx="1">
                  <c:v>66974.521739130432</c:v>
                </c:pt>
                <c:pt idx="2">
                  <c:v>62301.619047619046</c:v>
                </c:pt>
                <c:pt idx="3">
                  <c:v>61284.772727272728</c:v>
                </c:pt>
                <c:pt idx="4">
                  <c:v>59696</c:v>
                </c:pt>
              </c:numCache>
            </c:numRef>
          </c:val>
          <c:extLst xmlns:c16r2="http://schemas.microsoft.com/office/drawing/2015/06/chart">
            <c:ext xmlns:c16="http://schemas.microsoft.com/office/drawing/2014/chart" uri="{C3380CC4-5D6E-409C-BE32-E72D297353CC}">
              <c16:uniqueId val="{0000000A-4BE7-4833-B42E-BDFED6CDC3F9}"/>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clusteredColumn" uniqueId="{0A69F922-C5E1-47CE-9210-6B2EFDD3576B}">
          <cx:tx>
            <cx:txData>
              <cx:f>_xlchart.v1.0</cx:f>
              <cx:v>Salary</cx:v>
            </cx:txData>
          </cx:tx>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plotArea>
      <cx:plotAreaRegion>
        <cx:series layoutId="clusteredColumn" uniqueId="{0A69F922-C5E1-47CE-9210-6B2EFDD3576B}">
          <cx:tx>
            <cx:txData>
              <cx:f>_xlchart.v1.2</cx:f>
              <cx:v>Salary</cx:v>
            </cx:txData>
          </cx:tx>
          <cx:dataId val="0"/>
          <cx:layoutPr>
            <cx:binning intervalClosed="r"/>
          </cx:layoutPr>
        </cx:series>
      </cx:plotAreaRegion>
      <cx:axis id="0">
        <cx:catScaling gapWidth="0"/>
        <cx:tickLabels/>
      </cx:axis>
      <cx:axis id="1">
        <cx:valScaling/>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8.xml"/><Relationship Id="rId7" Type="http://schemas.microsoft.com/office/2007/relationships/hdphoto" Target="../media/hdphoto1.wdp"/><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9525</xdr:rowOff>
    </xdr:from>
    <xdr:to>
      <xdr:col>3</xdr:col>
      <xdr:colOff>238125</xdr:colOff>
      <xdr:row>29</xdr:row>
      <xdr:rowOff>9525</xdr:rowOff>
    </xdr:to>
    <xdr:graphicFrame macro="">
      <xdr:nvGraphicFramePr>
        <xdr:cNvPr id="2" name="Chart 1">
          <a:extLst>
            <a:ext uri="{FF2B5EF4-FFF2-40B4-BE49-F238E27FC236}">
              <a16:creationId xmlns:a16="http://schemas.microsoft.com/office/drawing/2014/main" xmlns="" id="{9780F9AC-8D1F-8F87-4515-99585918F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295275</xdr:colOff>
      <xdr:row>19</xdr:row>
      <xdr:rowOff>23812</xdr:rowOff>
    </xdr:from>
    <xdr:to>
      <xdr:col>5</xdr:col>
      <xdr:colOff>457200</xdr:colOff>
      <xdr:row>29</xdr:row>
      <xdr:rowOff>9525</xdr:rowOff>
    </xdr:to>
    <xdr:graphicFrame macro="">
      <xdr:nvGraphicFramePr>
        <xdr:cNvPr id="3" name="Chart 2">
          <a:extLst>
            <a:ext uri="{FF2B5EF4-FFF2-40B4-BE49-F238E27FC236}">
              <a16:creationId xmlns:a16="http://schemas.microsoft.com/office/drawing/2014/main" xmlns="" id="{476A89F7-BADD-8BE3-168D-7C720036C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609600</xdr:colOff>
      <xdr:row>18</xdr:row>
      <xdr:rowOff>166688</xdr:rowOff>
    </xdr:from>
    <xdr:to>
      <xdr:col>11</xdr:col>
      <xdr:colOff>304800</xdr:colOff>
      <xdr:row>30</xdr:row>
      <xdr:rowOff>28576</xdr:rowOff>
    </xdr:to>
    <xdr:graphicFrame macro="">
      <xdr:nvGraphicFramePr>
        <xdr:cNvPr id="4" name="Chart 3">
          <a:extLst>
            <a:ext uri="{FF2B5EF4-FFF2-40B4-BE49-F238E27FC236}">
              <a16:creationId xmlns:a16="http://schemas.microsoft.com/office/drawing/2014/main" xmlns="" id="{E37FBADE-B6AD-982A-2D27-F233E1803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95250</xdr:colOff>
      <xdr:row>30</xdr:row>
      <xdr:rowOff>185737</xdr:rowOff>
    </xdr:from>
    <xdr:to>
      <xdr:col>3</xdr:col>
      <xdr:colOff>333375</xdr:colOff>
      <xdr:row>42</xdr:row>
      <xdr:rowOff>9525</xdr:rowOff>
    </xdr:to>
    <xdr:graphicFrame macro="">
      <xdr:nvGraphicFramePr>
        <xdr:cNvPr id="6" name="Chart 5">
          <a:extLst>
            <a:ext uri="{FF2B5EF4-FFF2-40B4-BE49-F238E27FC236}">
              <a16:creationId xmlns:a16="http://schemas.microsoft.com/office/drawing/2014/main" xmlns="" id="{9381321D-6FEF-0C4B-8BA8-9FF84BAAB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581025</xdr:colOff>
      <xdr:row>31</xdr:row>
      <xdr:rowOff>9525</xdr:rowOff>
    </xdr:from>
    <xdr:to>
      <xdr:col>9</xdr:col>
      <xdr:colOff>9524</xdr:colOff>
      <xdr:row>42</xdr:row>
      <xdr:rowOff>33337</xdr:rowOff>
    </xdr:to>
    <mc:AlternateContent xmlns:mc="http://schemas.openxmlformats.org/markup-compatibility/2006">
      <mc:Choice xmlns:cx1="http://schemas.microsoft.com/office/drawing/2015/9/8/chartex" xmlns="" Requires="cx1">
        <xdr:graphicFrame macro="">
          <xdr:nvGraphicFramePr>
            <xdr:cNvPr id="7" name="Chart 6">
              <a:extLst>
                <a:ext uri="{FF2B5EF4-FFF2-40B4-BE49-F238E27FC236}">
                  <a16:creationId xmlns:a16="http://schemas.microsoft.com/office/drawing/2014/main" id="{9BBB6D22-D932-4967-A8FC-2CC7744C3D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5" name="Rectangle 4"/>
            <xdr:cNvSpPr>
              <a:spLocks noTextEdit="1"/>
            </xdr:cNvSpPr>
          </xdr:nvSpPr>
          <xdr:spPr>
            <a:xfrm>
              <a:off x="3867150" y="5915025"/>
              <a:ext cx="4695824" cy="21193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257175</xdr:colOff>
      <xdr:row>30</xdr:row>
      <xdr:rowOff>180975</xdr:rowOff>
    </xdr:from>
    <xdr:to>
      <xdr:col>14</xdr:col>
      <xdr:colOff>600074</xdr:colOff>
      <xdr:row>41</xdr:row>
      <xdr:rowOff>100012</xdr:rowOff>
    </xdr:to>
    <xdr:graphicFrame macro="">
      <xdr:nvGraphicFramePr>
        <xdr:cNvPr id="13" name="Chart 12">
          <a:extLst>
            <a:ext uri="{FF2B5EF4-FFF2-40B4-BE49-F238E27FC236}">
              <a16:creationId xmlns:a16="http://schemas.microsoft.com/office/drawing/2014/main" xmlns="" id="{A6F6E0AF-230D-1FCC-552D-49F38B37C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590550</xdr:colOff>
      <xdr:row>1</xdr:row>
      <xdr:rowOff>133350</xdr:rowOff>
    </xdr:from>
    <xdr:to>
      <xdr:col>18</xdr:col>
      <xdr:colOff>419100</xdr:colOff>
      <xdr:row>20</xdr:row>
      <xdr:rowOff>104776</xdr:rowOff>
    </xdr:to>
    <xdr:sp macro="" textlink="">
      <xdr:nvSpPr>
        <xdr:cNvPr id="2" name="TextBox 1">
          <a:extLst>
            <a:ext uri="{FF2B5EF4-FFF2-40B4-BE49-F238E27FC236}">
              <a16:creationId xmlns:a16="http://schemas.microsoft.com/office/drawing/2014/main" xmlns="" id="{BF33A534-8111-74EB-477C-E6C26C1CA42F}"/>
            </a:ext>
          </a:extLst>
        </xdr:cNvPr>
        <xdr:cNvSpPr txBox="1"/>
      </xdr:nvSpPr>
      <xdr:spPr>
        <a:xfrm>
          <a:off x="3171825" y="323850"/>
          <a:ext cx="8972550" cy="3590926"/>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algn="ctr"/>
          <a:r>
            <a:rPr lang="en-IN" sz="1600" b="1">
              <a:solidFill>
                <a:srgbClr val="00B0F0"/>
              </a:solidFill>
            </a:rPr>
            <a:t>Key Insights &amp; Recommendations</a:t>
          </a:r>
        </a:p>
        <a:p>
          <a:pPr algn="l"/>
          <a:r>
            <a:rPr lang="en-IN" sz="1600" b="1">
              <a:solidFill>
                <a:schemeClr val="accent6">
                  <a:lumMod val="75000"/>
                </a:schemeClr>
              </a:solidFill>
            </a:rPr>
            <a:t>Key -</a:t>
          </a:r>
        </a:p>
        <a:p>
          <a:pPr algn="l"/>
          <a:r>
            <a:rPr lang="en-IN" sz="1200" b="0"/>
            <a:t>1. The organization has </a:t>
          </a:r>
          <a:r>
            <a:rPr lang="en-IN" sz="1200" b="1"/>
            <a:t>100 employees </a:t>
          </a:r>
          <a:r>
            <a:rPr lang="en-IN" sz="1200" b="0"/>
            <a:t>across 5 departments. </a:t>
          </a:r>
        </a:p>
        <a:p>
          <a:pPr algn="l"/>
          <a:r>
            <a:rPr lang="en-IN" sz="1200" b="0"/>
            <a:t>2. </a:t>
          </a:r>
          <a:r>
            <a:rPr lang="en-IN" sz="1200" b="1"/>
            <a:t>HR Department </a:t>
          </a:r>
          <a:r>
            <a:rPr lang="en-IN" sz="1200" b="0"/>
            <a:t>has the highest workforce with 23 employees.</a:t>
          </a:r>
        </a:p>
        <a:p>
          <a:pPr algn="l"/>
          <a:r>
            <a:rPr lang="en-IN" sz="1200" b="0">
              <a:solidFill>
                <a:sysClr val="windowText" lastClr="000000"/>
              </a:solidFill>
            </a:rPr>
            <a:t>3. </a:t>
          </a:r>
          <a:r>
            <a:rPr lang="en-IN" sz="1200" b="0"/>
            <a:t>The company maintains a nearly equal gender distribution, with slightly more female employees than male employees.</a:t>
          </a:r>
        </a:p>
        <a:p>
          <a:pPr algn="l"/>
          <a:r>
            <a:rPr lang="en-IN" sz="1200" b="0">
              <a:solidFill>
                <a:sysClr val="windowText" lastClr="000000"/>
              </a:solidFill>
            </a:rPr>
            <a:t>4. </a:t>
          </a:r>
          <a:r>
            <a:rPr lang="en-IN" sz="1200" b="1"/>
            <a:t>Finance department </a:t>
          </a:r>
          <a:r>
            <a:rPr lang="en-IN" sz="1200" b="0"/>
            <a:t>achieved </a:t>
          </a:r>
          <a:r>
            <a:rPr lang="en-IN" sz="1200" b="1"/>
            <a:t>100% retention</a:t>
          </a:r>
          <a:r>
            <a:rPr lang="en-IN" sz="1200" b="0"/>
            <a:t>. </a:t>
          </a:r>
        </a:p>
        <a:p>
          <a:pPr algn="l"/>
          <a:r>
            <a:rPr lang="en-IN" sz="1200" b="0"/>
            <a:t>5. HR, IT, Marketing, and Sales show similar attrition patterns and may require further employee engagement initiatives.</a:t>
          </a:r>
        </a:p>
        <a:p>
          <a:pPr algn="l"/>
          <a:r>
            <a:rPr lang="en-IN" sz="1200" b="0">
              <a:solidFill>
                <a:sysClr val="windowText" lastClr="000000"/>
              </a:solidFill>
            </a:rPr>
            <a:t>6. </a:t>
          </a:r>
          <a:r>
            <a:rPr lang="en-IN" sz="1200" b="1"/>
            <a:t>Sales department </a:t>
          </a:r>
          <a:r>
            <a:rPr lang="en-IN" sz="1200" b="0"/>
            <a:t>demonstrates the strongest employee performance. 7. The IT department shows the lowest average performance score. Providing training and skill enhancement programs could help improve employee performance.</a:t>
          </a:r>
        </a:p>
        <a:p>
          <a:pPr algn="l"/>
          <a:r>
            <a:rPr lang="en-IN" sz="1200" b="0">
              <a:solidFill>
                <a:sysClr val="windowText" lastClr="000000"/>
              </a:solidFill>
            </a:rPr>
            <a:t>8. </a:t>
          </a:r>
          <a:r>
            <a:rPr lang="en-IN" sz="1200" b="1"/>
            <a:t>HR department </a:t>
          </a:r>
          <a:r>
            <a:rPr lang="en-IN" sz="1200" b="0"/>
            <a:t>has the highest average salary among all departments.</a:t>
          </a:r>
        </a:p>
        <a:p>
          <a:pPr algn="l"/>
          <a:r>
            <a:rPr lang="en-IN" sz="1200" b="0">
              <a:solidFill>
                <a:sysClr val="windowText" lastClr="000000"/>
              </a:solidFill>
            </a:rPr>
            <a:t>9. </a:t>
          </a:r>
          <a:r>
            <a:rPr lang="en-IN" sz="1200" b="0"/>
            <a:t>Finance department has the lowest average salary, but employee retention is strong with zero attrition.</a:t>
          </a:r>
        </a:p>
        <a:p>
          <a:pPr algn="l"/>
          <a:r>
            <a:rPr lang="en-IN" sz="1600" b="1">
              <a:solidFill>
                <a:schemeClr val="accent6">
                  <a:lumMod val="75000"/>
                </a:schemeClr>
              </a:solidFill>
            </a:rPr>
            <a:t>Recommendations</a:t>
          </a:r>
          <a:r>
            <a:rPr lang="en-IN" sz="1400" b="1" baseline="0">
              <a:solidFill>
                <a:schemeClr val="accent6">
                  <a:lumMod val="75000"/>
                </a:schemeClr>
              </a:solidFill>
            </a:rPr>
            <a:t> -</a:t>
          </a:r>
        </a:p>
        <a:p>
          <a:pPr algn="l"/>
          <a:r>
            <a:rPr lang="en-IN" sz="1200"/>
            <a:t>1. Improve retention in high-attrition departments. </a:t>
          </a:r>
        </a:p>
        <a:p>
          <a:pPr algn="l"/>
          <a:r>
            <a:rPr lang="en-IN" sz="1200"/>
            <a:t>2. Reward top-performing employees.</a:t>
          </a:r>
        </a:p>
        <a:p>
          <a:pPr algn="l"/>
          <a:r>
            <a:rPr lang="en-IN" sz="1200"/>
            <a:t>3. Provide regular training and development programs. </a:t>
          </a:r>
        </a:p>
        <a:p>
          <a:pPr algn="l"/>
          <a:r>
            <a:rPr lang="en-IN" sz="1200"/>
            <a:t>4. Maintain gender diversity across teams. </a:t>
          </a:r>
        </a:p>
        <a:p>
          <a:pPr algn="l"/>
          <a:r>
            <a:rPr lang="en-IN" sz="1200"/>
            <a:t>5. Review compensation policies. </a:t>
          </a:r>
        </a:p>
        <a:p>
          <a:pPr algn="l"/>
          <a:r>
            <a:rPr lang="en-IN" sz="1200"/>
            <a:t>6. Focus on employee satisfaction and career growth.</a:t>
          </a:r>
          <a:endParaRPr lang="en-IN" sz="1200" b="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516904</xdr:colOff>
      <xdr:row>0</xdr:row>
      <xdr:rowOff>52969</xdr:rowOff>
    </xdr:from>
    <xdr:to>
      <xdr:col>21</xdr:col>
      <xdr:colOff>598714</xdr:colOff>
      <xdr:row>4</xdr:row>
      <xdr:rowOff>3769</xdr:rowOff>
    </xdr:to>
    <xdr:sp macro="" textlink="">
      <xdr:nvSpPr>
        <xdr:cNvPr id="3" name="Rectangle 2">
          <a:extLst>
            <a:ext uri="{FF2B5EF4-FFF2-40B4-BE49-F238E27FC236}">
              <a16:creationId xmlns:a16="http://schemas.microsoft.com/office/drawing/2014/main" xmlns="" id="{70D8049B-3B90-0632-68C0-2FCA6BABA473}"/>
            </a:ext>
          </a:extLst>
        </xdr:cNvPr>
        <xdr:cNvSpPr/>
      </xdr:nvSpPr>
      <xdr:spPr>
        <a:xfrm>
          <a:off x="1741547" y="52969"/>
          <a:ext cx="11715917" cy="712800"/>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248225</xdr:colOff>
      <xdr:row>0</xdr:row>
      <xdr:rowOff>104871</xdr:rowOff>
    </xdr:from>
    <xdr:to>
      <xdr:col>13</xdr:col>
      <xdr:colOff>394938</xdr:colOff>
      <xdr:row>3</xdr:row>
      <xdr:rowOff>76296</xdr:rowOff>
    </xdr:to>
    <xdr:sp macro="" textlink="">
      <xdr:nvSpPr>
        <xdr:cNvPr id="4" name="TextBox 3">
          <a:extLst>
            <a:ext uri="{FF2B5EF4-FFF2-40B4-BE49-F238E27FC236}">
              <a16:creationId xmlns:a16="http://schemas.microsoft.com/office/drawing/2014/main" xmlns="" id="{65D623E0-E69A-13E8-3CC8-C2856CCB8B3F}"/>
            </a:ext>
          </a:extLst>
        </xdr:cNvPr>
        <xdr:cNvSpPr txBox="1"/>
      </xdr:nvSpPr>
      <xdr:spPr>
        <a:xfrm>
          <a:off x="2664323" y="104871"/>
          <a:ext cx="5582932" cy="528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solidFill>
                <a:schemeClr val="bg1"/>
              </a:solidFill>
            </a:rPr>
            <a:t>HR</a:t>
          </a:r>
          <a:r>
            <a:rPr lang="en-IN" sz="4000"/>
            <a:t> </a:t>
          </a:r>
          <a:r>
            <a:rPr lang="en-IN" sz="4000">
              <a:solidFill>
                <a:schemeClr val="bg1"/>
              </a:solidFill>
            </a:rPr>
            <a:t>Analytics Dashboard </a:t>
          </a:r>
        </a:p>
      </xdr:txBody>
    </xdr:sp>
    <xdr:clientData/>
  </xdr:twoCellAnchor>
  <xdr:twoCellAnchor>
    <xdr:from>
      <xdr:col>0</xdr:col>
      <xdr:colOff>114299</xdr:colOff>
      <xdr:row>4</xdr:row>
      <xdr:rowOff>66674</xdr:rowOff>
    </xdr:from>
    <xdr:to>
      <xdr:col>2</xdr:col>
      <xdr:colOff>418171</xdr:colOff>
      <xdr:row>33</xdr:row>
      <xdr:rowOff>82825</xdr:rowOff>
    </xdr:to>
    <xdr:sp macro="" textlink="">
      <xdr:nvSpPr>
        <xdr:cNvPr id="5" name="Rectangle 4">
          <a:extLst>
            <a:ext uri="{FF2B5EF4-FFF2-40B4-BE49-F238E27FC236}">
              <a16:creationId xmlns:a16="http://schemas.microsoft.com/office/drawing/2014/main" xmlns="" id="{50ACEAD4-E54F-4991-8809-F58D3B344EAF}"/>
            </a:ext>
          </a:extLst>
        </xdr:cNvPr>
        <xdr:cNvSpPr/>
      </xdr:nvSpPr>
      <xdr:spPr>
        <a:xfrm>
          <a:off x="114299" y="810089"/>
          <a:ext cx="1511921" cy="5405907"/>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596953</xdr:colOff>
      <xdr:row>5</xdr:row>
      <xdr:rowOff>13804</xdr:rowOff>
    </xdr:from>
    <xdr:to>
      <xdr:col>6</xdr:col>
      <xdr:colOff>255155</xdr:colOff>
      <xdr:row>9</xdr:row>
      <xdr:rowOff>25560</xdr:rowOff>
    </xdr:to>
    <xdr:sp macro="" textlink="">
      <xdr:nvSpPr>
        <xdr:cNvPr id="6" name="Rectangle 5">
          <a:extLst>
            <a:ext uri="{FF2B5EF4-FFF2-40B4-BE49-F238E27FC236}">
              <a16:creationId xmlns:a16="http://schemas.microsoft.com/office/drawing/2014/main" xmlns="" id="{2359A0D3-F794-459C-920E-90A2C34CC423}"/>
            </a:ext>
          </a:extLst>
        </xdr:cNvPr>
        <xdr:cNvSpPr/>
      </xdr:nvSpPr>
      <xdr:spPr>
        <a:xfrm>
          <a:off x="1805002" y="943072"/>
          <a:ext cx="2074299" cy="755171"/>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6</xdr:col>
      <xdr:colOff>439130</xdr:colOff>
      <xdr:row>5</xdr:row>
      <xdr:rowOff>13804</xdr:rowOff>
    </xdr:from>
    <xdr:to>
      <xdr:col>10</xdr:col>
      <xdr:colOff>97332</xdr:colOff>
      <xdr:row>9</xdr:row>
      <xdr:rowOff>25560</xdr:rowOff>
    </xdr:to>
    <xdr:sp macro="" textlink="">
      <xdr:nvSpPr>
        <xdr:cNvPr id="7" name="Rectangle 6">
          <a:extLst>
            <a:ext uri="{FF2B5EF4-FFF2-40B4-BE49-F238E27FC236}">
              <a16:creationId xmlns:a16="http://schemas.microsoft.com/office/drawing/2014/main" xmlns="" id="{9935D17F-951C-4E22-A6D7-FA3A9DB377AD}"/>
            </a:ext>
          </a:extLst>
        </xdr:cNvPr>
        <xdr:cNvSpPr/>
      </xdr:nvSpPr>
      <xdr:spPr>
        <a:xfrm>
          <a:off x="4063276" y="943072"/>
          <a:ext cx="2074300" cy="755171"/>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10</xdr:col>
      <xdr:colOff>323503</xdr:colOff>
      <xdr:row>5</xdr:row>
      <xdr:rowOff>11812</xdr:rowOff>
    </xdr:from>
    <xdr:to>
      <xdr:col>13</xdr:col>
      <xdr:colOff>582362</xdr:colOff>
      <xdr:row>9</xdr:row>
      <xdr:rowOff>23568</xdr:rowOff>
    </xdr:to>
    <xdr:sp macro="" textlink="">
      <xdr:nvSpPr>
        <xdr:cNvPr id="8" name="Rectangle 7">
          <a:extLst>
            <a:ext uri="{FF2B5EF4-FFF2-40B4-BE49-F238E27FC236}">
              <a16:creationId xmlns:a16="http://schemas.microsoft.com/office/drawing/2014/main" xmlns="" id="{6FFF3B69-002F-4DF5-8D8C-76057D83D89D}"/>
            </a:ext>
          </a:extLst>
        </xdr:cNvPr>
        <xdr:cNvSpPr/>
      </xdr:nvSpPr>
      <xdr:spPr>
        <a:xfrm>
          <a:off x="6446717" y="964312"/>
          <a:ext cx="2095824" cy="773756"/>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14</xdr:col>
      <xdr:colOff>247322</xdr:colOff>
      <xdr:row>5</xdr:row>
      <xdr:rowOff>13804</xdr:rowOff>
    </xdr:from>
    <xdr:to>
      <xdr:col>17</xdr:col>
      <xdr:colOff>506181</xdr:colOff>
      <xdr:row>9</xdr:row>
      <xdr:rowOff>25560</xdr:rowOff>
    </xdr:to>
    <xdr:sp macro="" textlink="">
      <xdr:nvSpPr>
        <xdr:cNvPr id="9" name="Rectangle 8">
          <a:extLst>
            <a:ext uri="{FF2B5EF4-FFF2-40B4-BE49-F238E27FC236}">
              <a16:creationId xmlns:a16="http://schemas.microsoft.com/office/drawing/2014/main" xmlns="" id="{30AB3DFD-9B19-4394-811B-D15B25E7883F}"/>
            </a:ext>
          </a:extLst>
        </xdr:cNvPr>
        <xdr:cNvSpPr/>
      </xdr:nvSpPr>
      <xdr:spPr>
        <a:xfrm>
          <a:off x="8819822" y="966304"/>
          <a:ext cx="2095823" cy="773756"/>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211629</xdr:colOff>
      <xdr:row>5</xdr:row>
      <xdr:rowOff>13804</xdr:rowOff>
    </xdr:from>
    <xdr:to>
      <xdr:col>21</xdr:col>
      <xdr:colOff>591750</xdr:colOff>
      <xdr:row>9</xdr:row>
      <xdr:rowOff>25560</xdr:rowOff>
    </xdr:to>
    <xdr:sp macro="" textlink="">
      <xdr:nvSpPr>
        <xdr:cNvPr id="10" name="Rectangle 9">
          <a:extLst>
            <a:ext uri="{FF2B5EF4-FFF2-40B4-BE49-F238E27FC236}">
              <a16:creationId xmlns:a16="http://schemas.microsoft.com/office/drawing/2014/main" xmlns="" id="{D40E5021-A64B-4B17-A7BD-6950DA64E7C4}"/>
            </a:ext>
          </a:extLst>
        </xdr:cNvPr>
        <xdr:cNvSpPr/>
      </xdr:nvSpPr>
      <xdr:spPr>
        <a:xfrm>
          <a:off x="11233415" y="966304"/>
          <a:ext cx="2217085" cy="773756"/>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596954</xdr:colOff>
      <xdr:row>9</xdr:row>
      <xdr:rowOff>176427</xdr:rowOff>
    </xdr:from>
    <xdr:to>
      <xdr:col>9</xdr:col>
      <xdr:colOff>186182</xdr:colOff>
      <xdr:row>21</xdr:row>
      <xdr:rowOff>46304</xdr:rowOff>
    </xdr:to>
    <xdr:sp macro="" textlink="">
      <xdr:nvSpPr>
        <xdr:cNvPr id="11" name="Rectangle 10">
          <a:extLst>
            <a:ext uri="{FF2B5EF4-FFF2-40B4-BE49-F238E27FC236}">
              <a16:creationId xmlns:a16="http://schemas.microsoft.com/office/drawing/2014/main" xmlns="" id="{F87BC4B7-D334-41AC-B580-A9F925FF5171}"/>
            </a:ext>
          </a:extLst>
        </xdr:cNvPr>
        <xdr:cNvSpPr/>
      </xdr:nvSpPr>
      <xdr:spPr>
        <a:xfrm>
          <a:off x="1805003" y="1849110"/>
          <a:ext cx="3817399" cy="2100121"/>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302013</xdr:colOff>
      <xdr:row>9</xdr:row>
      <xdr:rowOff>176428</xdr:rowOff>
    </xdr:from>
    <xdr:to>
      <xdr:col>15</xdr:col>
      <xdr:colOff>15488</xdr:colOff>
      <xdr:row>21</xdr:row>
      <xdr:rowOff>46305</xdr:rowOff>
    </xdr:to>
    <xdr:sp macro="" textlink="">
      <xdr:nvSpPr>
        <xdr:cNvPr id="12" name="Rectangle 11">
          <a:extLst>
            <a:ext uri="{FF2B5EF4-FFF2-40B4-BE49-F238E27FC236}">
              <a16:creationId xmlns:a16="http://schemas.microsoft.com/office/drawing/2014/main" xmlns="" id="{DD38E012-A11D-411F-A72B-E560871277EB}"/>
            </a:ext>
          </a:extLst>
        </xdr:cNvPr>
        <xdr:cNvSpPr/>
      </xdr:nvSpPr>
      <xdr:spPr>
        <a:xfrm>
          <a:off x="5738233" y="1849111"/>
          <a:ext cx="3337621" cy="2100121"/>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115820</xdr:colOff>
      <xdr:row>9</xdr:row>
      <xdr:rowOff>178615</xdr:rowOff>
    </xdr:from>
    <xdr:to>
      <xdr:col>22</xdr:col>
      <xdr:colOff>13608</xdr:colOff>
      <xdr:row>21</xdr:row>
      <xdr:rowOff>48492</xdr:rowOff>
    </xdr:to>
    <xdr:sp macro="" textlink="">
      <xdr:nvSpPr>
        <xdr:cNvPr id="13" name="Rectangle 12">
          <a:extLst>
            <a:ext uri="{FF2B5EF4-FFF2-40B4-BE49-F238E27FC236}">
              <a16:creationId xmlns:a16="http://schemas.microsoft.com/office/drawing/2014/main" xmlns="" id="{6DC71F30-7605-46EF-9908-C691505C53A3}"/>
            </a:ext>
          </a:extLst>
        </xdr:cNvPr>
        <xdr:cNvSpPr/>
      </xdr:nvSpPr>
      <xdr:spPr>
        <a:xfrm>
          <a:off x="9300641" y="1893115"/>
          <a:ext cx="4184038" cy="2155877"/>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xdr:col>
      <xdr:colOff>592576</xdr:colOff>
      <xdr:row>22</xdr:row>
      <xdr:rowOff>27608</xdr:rowOff>
    </xdr:from>
    <xdr:to>
      <xdr:col>9</xdr:col>
      <xdr:colOff>181804</xdr:colOff>
      <xdr:row>33</xdr:row>
      <xdr:rowOff>83338</xdr:rowOff>
    </xdr:to>
    <xdr:sp macro="" textlink="">
      <xdr:nvSpPr>
        <xdr:cNvPr id="14" name="Rectangle 13">
          <a:extLst>
            <a:ext uri="{FF2B5EF4-FFF2-40B4-BE49-F238E27FC236}">
              <a16:creationId xmlns:a16="http://schemas.microsoft.com/office/drawing/2014/main" xmlns="" id="{2D06E9C9-A049-42D5-B3CC-5C966C8EDEDD}"/>
            </a:ext>
          </a:extLst>
        </xdr:cNvPr>
        <xdr:cNvSpPr/>
      </xdr:nvSpPr>
      <xdr:spPr>
        <a:xfrm>
          <a:off x="1800625" y="4116388"/>
          <a:ext cx="3817399" cy="2100121"/>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313627</xdr:colOff>
      <xdr:row>22</xdr:row>
      <xdr:rowOff>8752</xdr:rowOff>
    </xdr:from>
    <xdr:to>
      <xdr:col>15</xdr:col>
      <xdr:colOff>408214</xdr:colOff>
      <xdr:row>33</xdr:row>
      <xdr:rowOff>92926</xdr:rowOff>
    </xdr:to>
    <xdr:sp macro="" textlink="">
      <xdr:nvSpPr>
        <xdr:cNvPr id="15" name="Rectangle 14">
          <a:extLst>
            <a:ext uri="{FF2B5EF4-FFF2-40B4-BE49-F238E27FC236}">
              <a16:creationId xmlns:a16="http://schemas.microsoft.com/office/drawing/2014/main" xmlns="" id="{C68E125D-59A4-46A4-ADEB-24B0DC6114F8}"/>
            </a:ext>
          </a:extLst>
        </xdr:cNvPr>
        <xdr:cNvSpPr/>
      </xdr:nvSpPr>
      <xdr:spPr>
        <a:xfrm>
          <a:off x="5824520" y="4199752"/>
          <a:ext cx="3768515" cy="2179674"/>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210937</xdr:colOff>
      <xdr:row>4</xdr:row>
      <xdr:rowOff>166998</xdr:rowOff>
    </xdr:from>
    <xdr:to>
      <xdr:col>6</xdr:col>
      <xdr:colOff>100502</xdr:colOff>
      <xdr:row>6</xdr:row>
      <xdr:rowOff>132994</xdr:rowOff>
    </xdr:to>
    <xdr:sp macro="" textlink="">
      <xdr:nvSpPr>
        <xdr:cNvPr id="17" name="TextBox 16">
          <a:extLst>
            <a:ext uri="{FF2B5EF4-FFF2-40B4-BE49-F238E27FC236}">
              <a16:creationId xmlns:a16="http://schemas.microsoft.com/office/drawing/2014/main" xmlns="" id="{B0A483C8-CE20-957D-C2CF-16C59BBA98D4}"/>
            </a:ext>
          </a:extLst>
        </xdr:cNvPr>
        <xdr:cNvSpPr txBox="1"/>
      </xdr:nvSpPr>
      <xdr:spPr>
        <a:xfrm>
          <a:off x="2023010" y="910413"/>
          <a:ext cx="1701638" cy="337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lumMod val="50000"/>
                </a:schemeClr>
              </a:solidFill>
            </a:rPr>
            <a:t>Total Employees</a:t>
          </a:r>
        </a:p>
      </xdr:txBody>
    </xdr:sp>
    <xdr:clientData/>
  </xdr:twoCellAnchor>
  <xdr:twoCellAnchor>
    <xdr:from>
      <xdr:col>3</xdr:col>
      <xdr:colOff>125922</xdr:colOff>
      <xdr:row>6</xdr:row>
      <xdr:rowOff>63482</xdr:rowOff>
    </xdr:from>
    <xdr:to>
      <xdr:col>6</xdr:col>
      <xdr:colOff>15487</xdr:colOff>
      <xdr:row>8</xdr:row>
      <xdr:rowOff>17423</xdr:rowOff>
    </xdr:to>
    <xdr:sp macro="" textlink="">
      <xdr:nvSpPr>
        <xdr:cNvPr id="18" name="TextBox 17">
          <a:extLst>
            <a:ext uri="{FF2B5EF4-FFF2-40B4-BE49-F238E27FC236}">
              <a16:creationId xmlns:a16="http://schemas.microsoft.com/office/drawing/2014/main" xmlns="" id="{5437F0B3-CB66-4785-9D50-F144B70A380D}"/>
            </a:ext>
          </a:extLst>
        </xdr:cNvPr>
        <xdr:cNvSpPr txBox="1"/>
      </xdr:nvSpPr>
      <xdr:spPr>
        <a:xfrm>
          <a:off x="1972307" y="1206482"/>
          <a:ext cx="1735949" cy="334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0B0F0"/>
              </a:solidFill>
            </a:rPr>
            <a:t>100</a:t>
          </a:r>
        </a:p>
      </xdr:txBody>
    </xdr:sp>
    <xdr:clientData/>
  </xdr:twoCellAnchor>
  <xdr:twoCellAnchor>
    <xdr:from>
      <xdr:col>7</xdr:col>
      <xdr:colOff>18939</xdr:colOff>
      <xdr:row>4</xdr:row>
      <xdr:rowOff>166998</xdr:rowOff>
    </xdr:from>
    <xdr:to>
      <xdr:col>9</xdr:col>
      <xdr:colOff>512529</xdr:colOff>
      <xdr:row>6</xdr:row>
      <xdr:rowOff>132994</xdr:rowOff>
    </xdr:to>
    <xdr:sp macro="" textlink="">
      <xdr:nvSpPr>
        <xdr:cNvPr id="19" name="TextBox 18">
          <a:extLst>
            <a:ext uri="{FF2B5EF4-FFF2-40B4-BE49-F238E27FC236}">
              <a16:creationId xmlns:a16="http://schemas.microsoft.com/office/drawing/2014/main" xmlns="" id="{FD392790-9988-4867-BE14-48B52BDD7634}"/>
            </a:ext>
          </a:extLst>
        </xdr:cNvPr>
        <xdr:cNvSpPr txBox="1"/>
      </xdr:nvSpPr>
      <xdr:spPr>
        <a:xfrm>
          <a:off x="4247110" y="910413"/>
          <a:ext cx="1701639" cy="337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50000"/>
                </a:schemeClr>
              </a:solidFill>
            </a:rPr>
            <a:t>Attrition Rate</a:t>
          </a:r>
        </a:p>
      </xdr:txBody>
    </xdr:sp>
    <xdr:clientData/>
  </xdr:twoCellAnchor>
  <xdr:twoCellAnchor>
    <xdr:from>
      <xdr:col>7</xdr:col>
      <xdr:colOff>42920</xdr:colOff>
      <xdr:row>6</xdr:row>
      <xdr:rowOff>58523</xdr:rowOff>
    </xdr:from>
    <xdr:to>
      <xdr:col>9</xdr:col>
      <xdr:colOff>536510</xdr:colOff>
      <xdr:row>8</xdr:row>
      <xdr:rowOff>17110</xdr:rowOff>
    </xdr:to>
    <xdr:sp macro="" textlink="">
      <xdr:nvSpPr>
        <xdr:cNvPr id="20" name="TextBox 19">
          <a:extLst>
            <a:ext uri="{FF2B5EF4-FFF2-40B4-BE49-F238E27FC236}">
              <a16:creationId xmlns:a16="http://schemas.microsoft.com/office/drawing/2014/main" xmlns="" id="{4D9D0F6D-5FC1-4B1F-96FA-DDB99E25E106}"/>
            </a:ext>
          </a:extLst>
        </xdr:cNvPr>
        <xdr:cNvSpPr txBox="1"/>
      </xdr:nvSpPr>
      <xdr:spPr>
        <a:xfrm>
          <a:off x="4351151" y="1201523"/>
          <a:ext cx="1724513" cy="339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0B0F0"/>
              </a:solidFill>
            </a:rPr>
            <a:t>0.12</a:t>
          </a:r>
        </a:p>
      </xdr:txBody>
    </xdr:sp>
    <xdr:clientData/>
  </xdr:twoCellAnchor>
  <xdr:twoCellAnchor>
    <xdr:from>
      <xdr:col>10</xdr:col>
      <xdr:colOff>562779</xdr:colOff>
      <xdr:row>4</xdr:row>
      <xdr:rowOff>166998</xdr:rowOff>
    </xdr:from>
    <xdr:to>
      <xdr:col>13</xdr:col>
      <xdr:colOff>452344</xdr:colOff>
      <xdr:row>6</xdr:row>
      <xdr:rowOff>132994</xdr:rowOff>
    </xdr:to>
    <xdr:sp macro="" textlink="">
      <xdr:nvSpPr>
        <xdr:cNvPr id="21" name="TextBox 20">
          <a:extLst>
            <a:ext uri="{FF2B5EF4-FFF2-40B4-BE49-F238E27FC236}">
              <a16:creationId xmlns:a16="http://schemas.microsoft.com/office/drawing/2014/main" xmlns="" id="{F9CC9BB4-E1BD-4768-8423-9C3E3753CF3C}"/>
            </a:ext>
          </a:extLst>
        </xdr:cNvPr>
        <xdr:cNvSpPr txBox="1"/>
      </xdr:nvSpPr>
      <xdr:spPr>
        <a:xfrm>
          <a:off x="6603023" y="910413"/>
          <a:ext cx="1701638" cy="337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50000"/>
                </a:schemeClr>
              </a:solidFill>
            </a:rPr>
            <a:t>Average Salary</a:t>
          </a:r>
        </a:p>
      </xdr:txBody>
    </xdr:sp>
    <xdr:clientData/>
  </xdr:twoCellAnchor>
  <xdr:twoCellAnchor>
    <xdr:from>
      <xdr:col>10</xdr:col>
      <xdr:colOff>541737</xdr:colOff>
      <xdr:row>6</xdr:row>
      <xdr:rowOff>101055</xdr:rowOff>
    </xdr:from>
    <xdr:to>
      <xdr:col>13</xdr:col>
      <xdr:colOff>431302</xdr:colOff>
      <xdr:row>8</xdr:row>
      <xdr:rowOff>54996</xdr:rowOff>
    </xdr:to>
    <xdr:sp macro="" textlink="">
      <xdr:nvSpPr>
        <xdr:cNvPr id="22" name="TextBox 21">
          <a:extLst>
            <a:ext uri="{FF2B5EF4-FFF2-40B4-BE49-F238E27FC236}">
              <a16:creationId xmlns:a16="http://schemas.microsoft.com/office/drawing/2014/main" xmlns="" id="{A8B1B9E8-CA55-483E-B740-D78341F964FE}"/>
            </a:ext>
          </a:extLst>
        </xdr:cNvPr>
        <xdr:cNvSpPr txBox="1"/>
      </xdr:nvSpPr>
      <xdr:spPr>
        <a:xfrm>
          <a:off x="6696352" y="1244055"/>
          <a:ext cx="1735950" cy="334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0B0F0"/>
              </a:solidFill>
            </a:rPr>
            <a:t>61842.3</a:t>
          </a:r>
        </a:p>
      </xdr:txBody>
    </xdr:sp>
    <xdr:clientData/>
  </xdr:twoCellAnchor>
  <xdr:twoCellAnchor>
    <xdr:from>
      <xdr:col>14</xdr:col>
      <xdr:colOff>292581</xdr:colOff>
      <xdr:row>5</xdr:row>
      <xdr:rowOff>6565</xdr:rowOff>
    </xdr:from>
    <xdr:to>
      <xdr:col>17</xdr:col>
      <xdr:colOff>510083</xdr:colOff>
      <xdr:row>6</xdr:row>
      <xdr:rowOff>151007</xdr:rowOff>
    </xdr:to>
    <xdr:sp macro="" textlink="">
      <xdr:nvSpPr>
        <xdr:cNvPr id="23" name="TextBox 22">
          <a:extLst>
            <a:ext uri="{FF2B5EF4-FFF2-40B4-BE49-F238E27FC236}">
              <a16:creationId xmlns:a16="http://schemas.microsoft.com/office/drawing/2014/main" xmlns="" id="{341CEE38-D6BB-459E-BB3D-D08F9468BAEC}"/>
            </a:ext>
          </a:extLst>
        </xdr:cNvPr>
        <xdr:cNvSpPr txBox="1"/>
      </xdr:nvSpPr>
      <xdr:spPr>
        <a:xfrm>
          <a:off x="8865081" y="959065"/>
          <a:ext cx="2054466" cy="334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50000"/>
                </a:schemeClr>
              </a:solidFill>
            </a:rPr>
            <a:t>Average Performance</a:t>
          </a:r>
        </a:p>
      </xdr:txBody>
    </xdr:sp>
    <xdr:clientData/>
  </xdr:twoCellAnchor>
  <xdr:twoCellAnchor>
    <xdr:from>
      <xdr:col>14</xdr:col>
      <xdr:colOff>426529</xdr:colOff>
      <xdr:row>6</xdr:row>
      <xdr:rowOff>46625</xdr:rowOff>
    </xdr:from>
    <xdr:to>
      <xdr:col>17</xdr:col>
      <xdr:colOff>319460</xdr:colOff>
      <xdr:row>8</xdr:row>
      <xdr:rowOff>566</xdr:rowOff>
    </xdr:to>
    <xdr:sp macro="" textlink="">
      <xdr:nvSpPr>
        <xdr:cNvPr id="24" name="TextBox 23">
          <a:extLst>
            <a:ext uri="{FF2B5EF4-FFF2-40B4-BE49-F238E27FC236}">
              <a16:creationId xmlns:a16="http://schemas.microsoft.com/office/drawing/2014/main" xmlns="" id="{49A35FD8-8D50-4366-BC6B-6FA9035B6F3A}"/>
            </a:ext>
          </a:extLst>
        </xdr:cNvPr>
        <xdr:cNvSpPr txBox="1"/>
      </xdr:nvSpPr>
      <xdr:spPr>
        <a:xfrm>
          <a:off x="8999029" y="1189625"/>
          <a:ext cx="1729895" cy="334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0B0F0"/>
              </a:solidFill>
            </a:rPr>
            <a:t>3.62</a:t>
          </a:r>
        </a:p>
      </xdr:txBody>
    </xdr:sp>
    <xdr:clientData/>
  </xdr:twoCellAnchor>
  <xdr:twoCellAnchor>
    <xdr:from>
      <xdr:col>18</xdr:col>
      <xdr:colOff>368665</xdr:colOff>
      <xdr:row>5</xdr:row>
      <xdr:rowOff>28934</xdr:rowOff>
    </xdr:from>
    <xdr:to>
      <xdr:col>21</xdr:col>
      <xdr:colOff>423881</xdr:colOff>
      <xdr:row>6</xdr:row>
      <xdr:rowOff>185430</xdr:rowOff>
    </xdr:to>
    <xdr:sp macro="" textlink="">
      <xdr:nvSpPr>
        <xdr:cNvPr id="25" name="TextBox 24">
          <a:extLst>
            <a:ext uri="{FF2B5EF4-FFF2-40B4-BE49-F238E27FC236}">
              <a16:creationId xmlns:a16="http://schemas.microsoft.com/office/drawing/2014/main" xmlns="" id="{CE0C5DD6-F83C-4F24-BFC1-A504697D9360}"/>
            </a:ext>
          </a:extLst>
        </xdr:cNvPr>
        <xdr:cNvSpPr txBox="1"/>
      </xdr:nvSpPr>
      <xdr:spPr>
        <a:xfrm>
          <a:off x="11390451" y="981434"/>
          <a:ext cx="1892180" cy="346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lumMod val="50000"/>
                </a:schemeClr>
              </a:solidFill>
            </a:rPr>
            <a:t>Total Departments</a:t>
          </a:r>
        </a:p>
      </xdr:txBody>
    </xdr:sp>
    <xdr:clientData/>
  </xdr:twoCellAnchor>
  <xdr:twoCellAnchor>
    <xdr:from>
      <xdr:col>18</xdr:col>
      <xdr:colOff>562453</xdr:colOff>
      <xdr:row>6</xdr:row>
      <xdr:rowOff>106396</xdr:rowOff>
    </xdr:from>
    <xdr:to>
      <xdr:col>21</xdr:col>
      <xdr:colOff>452018</xdr:colOff>
      <xdr:row>8</xdr:row>
      <xdr:rowOff>60337</xdr:rowOff>
    </xdr:to>
    <xdr:sp macro="" textlink="">
      <xdr:nvSpPr>
        <xdr:cNvPr id="26" name="TextBox 25">
          <a:extLst>
            <a:ext uri="{FF2B5EF4-FFF2-40B4-BE49-F238E27FC236}">
              <a16:creationId xmlns:a16="http://schemas.microsoft.com/office/drawing/2014/main" xmlns="" id="{7F3E70F6-E7ED-4176-93B6-4427510674F4}"/>
            </a:ext>
          </a:extLst>
        </xdr:cNvPr>
        <xdr:cNvSpPr txBox="1"/>
      </xdr:nvSpPr>
      <xdr:spPr>
        <a:xfrm>
          <a:off x="11584239" y="1249396"/>
          <a:ext cx="1726529" cy="334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00B0F0"/>
              </a:solidFill>
            </a:rPr>
            <a:t>5</a:t>
          </a:r>
        </a:p>
      </xdr:txBody>
    </xdr:sp>
    <xdr:clientData/>
  </xdr:twoCellAnchor>
  <xdr:twoCellAnchor>
    <xdr:from>
      <xdr:col>2</xdr:col>
      <xdr:colOff>587526</xdr:colOff>
      <xdr:row>11</xdr:row>
      <xdr:rowOff>178616</xdr:rowOff>
    </xdr:from>
    <xdr:to>
      <xdr:col>9</xdr:col>
      <xdr:colOff>149153</xdr:colOff>
      <xdr:row>21</xdr:row>
      <xdr:rowOff>34174</xdr:rowOff>
    </xdr:to>
    <xdr:graphicFrame macro="">
      <xdr:nvGraphicFramePr>
        <xdr:cNvPr id="27" name="Chart 26">
          <a:extLst>
            <a:ext uri="{FF2B5EF4-FFF2-40B4-BE49-F238E27FC236}">
              <a16:creationId xmlns:a16="http://schemas.microsoft.com/office/drawing/2014/main" xmlns="" id="{25004563-8A22-4390-B3A1-64FA6E9C4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368845</xdr:colOff>
      <xdr:row>9</xdr:row>
      <xdr:rowOff>167000</xdr:rowOff>
    </xdr:from>
    <xdr:to>
      <xdr:col>9</xdr:col>
      <xdr:colOff>13299</xdr:colOff>
      <xdr:row>11</xdr:row>
      <xdr:rowOff>132995</xdr:rowOff>
    </xdr:to>
    <xdr:sp macro="" textlink="">
      <xdr:nvSpPr>
        <xdr:cNvPr id="29" name="TextBox 28">
          <a:extLst>
            <a:ext uri="{FF2B5EF4-FFF2-40B4-BE49-F238E27FC236}">
              <a16:creationId xmlns:a16="http://schemas.microsoft.com/office/drawing/2014/main" xmlns="" id="{974C6A9C-006A-4908-B6A2-6E59CA776A0A}"/>
            </a:ext>
          </a:extLst>
        </xdr:cNvPr>
        <xdr:cNvSpPr txBox="1"/>
      </xdr:nvSpPr>
      <xdr:spPr>
        <a:xfrm>
          <a:off x="2180918" y="1839683"/>
          <a:ext cx="3268601" cy="337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B0F0"/>
              </a:solidFill>
            </a:rPr>
            <a:t>Department-wise Employees</a:t>
          </a:r>
        </a:p>
      </xdr:txBody>
    </xdr:sp>
    <xdr:clientData/>
  </xdr:twoCellAnchor>
  <xdr:twoCellAnchor>
    <xdr:from>
      <xdr:col>9</xdr:col>
      <xdr:colOff>433489</xdr:colOff>
      <xdr:row>10</xdr:row>
      <xdr:rowOff>4376</xdr:rowOff>
    </xdr:from>
    <xdr:to>
      <xdr:col>15</xdr:col>
      <xdr:colOff>77943</xdr:colOff>
      <xdr:row>11</xdr:row>
      <xdr:rowOff>156225</xdr:rowOff>
    </xdr:to>
    <xdr:sp macro="" textlink="">
      <xdr:nvSpPr>
        <xdr:cNvPr id="30" name="TextBox 29">
          <a:extLst>
            <a:ext uri="{FF2B5EF4-FFF2-40B4-BE49-F238E27FC236}">
              <a16:creationId xmlns:a16="http://schemas.microsoft.com/office/drawing/2014/main" xmlns="" id="{D9EB0328-CBC8-4D5F-8817-BEC8E8A670DC}"/>
            </a:ext>
          </a:extLst>
        </xdr:cNvPr>
        <xdr:cNvSpPr txBox="1"/>
      </xdr:nvSpPr>
      <xdr:spPr>
        <a:xfrm>
          <a:off x="5869709" y="1862913"/>
          <a:ext cx="3268600" cy="337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00B0F0"/>
              </a:solidFill>
            </a:rPr>
            <a:t>Gender Diversity</a:t>
          </a:r>
        </a:p>
      </xdr:txBody>
    </xdr:sp>
    <xdr:clientData/>
  </xdr:twoCellAnchor>
  <xdr:twoCellAnchor>
    <xdr:from>
      <xdr:col>15</xdr:col>
      <xdr:colOff>485846</xdr:colOff>
      <xdr:row>9</xdr:row>
      <xdr:rowOff>167842</xdr:rowOff>
    </xdr:from>
    <xdr:to>
      <xdr:col>21</xdr:col>
      <xdr:colOff>130301</xdr:colOff>
      <xdr:row>11</xdr:row>
      <xdr:rowOff>126430</xdr:rowOff>
    </xdr:to>
    <xdr:sp macro="" textlink="">
      <xdr:nvSpPr>
        <xdr:cNvPr id="31" name="TextBox 30">
          <a:extLst>
            <a:ext uri="{FF2B5EF4-FFF2-40B4-BE49-F238E27FC236}">
              <a16:creationId xmlns:a16="http://schemas.microsoft.com/office/drawing/2014/main" xmlns="" id="{357289A1-AB17-4EEC-9217-82958815CC92}"/>
            </a:ext>
          </a:extLst>
        </xdr:cNvPr>
        <xdr:cNvSpPr txBox="1"/>
      </xdr:nvSpPr>
      <xdr:spPr>
        <a:xfrm>
          <a:off x="9546212" y="1840525"/>
          <a:ext cx="3268601" cy="330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00B0F0"/>
              </a:solidFill>
            </a:rPr>
            <a:t>Attrition by Department</a:t>
          </a:r>
        </a:p>
      </xdr:txBody>
    </xdr:sp>
    <xdr:clientData/>
  </xdr:twoCellAnchor>
  <xdr:twoCellAnchor>
    <xdr:from>
      <xdr:col>3</xdr:col>
      <xdr:colOff>152016</xdr:colOff>
      <xdr:row>22</xdr:row>
      <xdr:rowOff>4377</xdr:rowOff>
    </xdr:from>
    <xdr:to>
      <xdr:col>9</xdr:col>
      <xdr:colOff>110603</xdr:colOff>
      <xdr:row>23</xdr:row>
      <xdr:rowOff>156226</xdr:rowOff>
    </xdr:to>
    <xdr:sp macro="" textlink="">
      <xdr:nvSpPr>
        <xdr:cNvPr id="32" name="TextBox 31">
          <a:extLst>
            <a:ext uri="{FF2B5EF4-FFF2-40B4-BE49-F238E27FC236}">
              <a16:creationId xmlns:a16="http://schemas.microsoft.com/office/drawing/2014/main" xmlns="" id="{8CF8E394-CED8-4719-AB38-193F82B28DE9}"/>
            </a:ext>
          </a:extLst>
        </xdr:cNvPr>
        <xdr:cNvSpPr txBox="1"/>
      </xdr:nvSpPr>
      <xdr:spPr>
        <a:xfrm>
          <a:off x="1964089" y="4093157"/>
          <a:ext cx="3582734" cy="337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00B0F0"/>
              </a:solidFill>
            </a:rPr>
            <a:t>Average of Performance Rating</a:t>
          </a:r>
        </a:p>
      </xdr:txBody>
    </xdr:sp>
    <xdr:clientData/>
  </xdr:twoCellAnchor>
  <xdr:twoCellAnchor>
    <xdr:from>
      <xdr:col>9</xdr:col>
      <xdr:colOff>556268</xdr:colOff>
      <xdr:row>22</xdr:row>
      <xdr:rowOff>32488</xdr:rowOff>
    </xdr:from>
    <xdr:to>
      <xdr:col>15</xdr:col>
      <xdr:colOff>185144</xdr:colOff>
      <xdr:row>23</xdr:row>
      <xdr:rowOff>181577</xdr:rowOff>
    </xdr:to>
    <xdr:sp macro="" textlink="">
      <xdr:nvSpPr>
        <xdr:cNvPr id="33" name="TextBox 32">
          <a:extLst>
            <a:ext uri="{FF2B5EF4-FFF2-40B4-BE49-F238E27FC236}">
              <a16:creationId xmlns:a16="http://schemas.microsoft.com/office/drawing/2014/main" xmlns="" id="{74B52116-E693-4B72-A8F5-2371F305D94C}"/>
            </a:ext>
          </a:extLst>
        </xdr:cNvPr>
        <xdr:cNvSpPr txBox="1"/>
      </xdr:nvSpPr>
      <xdr:spPr>
        <a:xfrm>
          <a:off x="6067161" y="4223488"/>
          <a:ext cx="3302804" cy="339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00B0F0"/>
              </a:solidFill>
            </a:rPr>
            <a:t>Salary Distribution</a:t>
          </a:r>
        </a:p>
      </xdr:txBody>
    </xdr:sp>
    <xdr:clientData/>
  </xdr:twoCellAnchor>
  <xdr:twoCellAnchor>
    <xdr:from>
      <xdr:col>9</xdr:col>
      <xdr:colOff>302012</xdr:colOff>
      <xdr:row>12</xdr:row>
      <xdr:rowOff>1</xdr:rowOff>
    </xdr:from>
    <xdr:to>
      <xdr:col>15</xdr:col>
      <xdr:colOff>11616</xdr:colOff>
      <xdr:row>21</xdr:row>
      <xdr:rowOff>34847</xdr:rowOff>
    </xdr:to>
    <xdr:graphicFrame macro="">
      <xdr:nvGraphicFramePr>
        <xdr:cNvPr id="35" name="Chart 34">
          <a:extLst>
            <a:ext uri="{FF2B5EF4-FFF2-40B4-BE49-F238E27FC236}">
              <a16:creationId xmlns:a16="http://schemas.microsoft.com/office/drawing/2014/main" xmlns="" id="{221E3946-7CAB-4194-A8B9-A52ED5265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115823</xdr:colOff>
      <xdr:row>12</xdr:row>
      <xdr:rowOff>22559</xdr:rowOff>
    </xdr:from>
    <xdr:to>
      <xdr:col>22</xdr:col>
      <xdr:colOff>13608</xdr:colOff>
      <xdr:row>21</xdr:row>
      <xdr:rowOff>22559</xdr:rowOff>
    </xdr:to>
    <xdr:graphicFrame macro="">
      <xdr:nvGraphicFramePr>
        <xdr:cNvPr id="36" name="Chart 35">
          <a:extLst>
            <a:ext uri="{FF2B5EF4-FFF2-40B4-BE49-F238E27FC236}">
              <a16:creationId xmlns:a16="http://schemas.microsoft.com/office/drawing/2014/main" xmlns="" id="{099077D3-BA89-4C37-99CB-5681F7284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567155</xdr:colOff>
      <xdr:row>24</xdr:row>
      <xdr:rowOff>13803</xdr:rowOff>
    </xdr:from>
    <xdr:to>
      <xdr:col>9</xdr:col>
      <xdr:colOff>170197</xdr:colOff>
      <xdr:row>33</xdr:row>
      <xdr:rowOff>82825</xdr:rowOff>
    </xdr:to>
    <xdr:graphicFrame macro="">
      <xdr:nvGraphicFramePr>
        <xdr:cNvPr id="37" name="Chart 36">
          <a:extLst>
            <a:ext uri="{FF2B5EF4-FFF2-40B4-BE49-F238E27FC236}">
              <a16:creationId xmlns:a16="http://schemas.microsoft.com/office/drawing/2014/main" xmlns="" id="{7609F19B-3294-4F09-870B-B221E1E25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406554</xdr:colOff>
      <xdr:row>24</xdr:row>
      <xdr:rowOff>24747</xdr:rowOff>
    </xdr:from>
    <xdr:to>
      <xdr:col>15</xdr:col>
      <xdr:colOff>476249</xdr:colOff>
      <xdr:row>33</xdr:row>
      <xdr:rowOff>38551</xdr:rowOff>
    </xdr:to>
    <mc:AlternateContent xmlns:mc="http://schemas.openxmlformats.org/markup-compatibility/2006">
      <mc:Choice xmlns:cx1="http://schemas.microsoft.com/office/drawing/2015/9/8/chartex" xmlns="" Requires="cx1">
        <xdr:graphicFrame macro="">
          <xdr:nvGraphicFramePr>
            <xdr:cNvPr id="38" name="Chart 37">
              <a:extLst>
                <a:ext uri="{FF2B5EF4-FFF2-40B4-BE49-F238E27FC236}">
                  <a16:creationId xmlns:a16="http://schemas.microsoft.com/office/drawing/2014/main" id="{D57504CB-676B-4018-8BE8-8BEA77BF5A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2" name="Rectangle 1"/>
            <xdr:cNvSpPr>
              <a:spLocks noTextEdit="1"/>
            </xdr:cNvSpPr>
          </xdr:nvSpPr>
          <xdr:spPr>
            <a:xfrm>
              <a:off x="5917447" y="4596747"/>
              <a:ext cx="3743623" cy="17283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104545</xdr:colOff>
      <xdr:row>4</xdr:row>
      <xdr:rowOff>127775</xdr:rowOff>
    </xdr:from>
    <xdr:to>
      <xdr:col>2</xdr:col>
      <xdr:colOff>418172</xdr:colOff>
      <xdr:row>14</xdr:row>
      <xdr:rowOff>58080</xdr:rowOff>
    </xdr:to>
    <mc:AlternateContent xmlns:mc="http://schemas.openxmlformats.org/markup-compatibility/2006" xmlns:a14="http://schemas.microsoft.com/office/drawing/2010/main">
      <mc:Choice Requires="a14">
        <xdr:graphicFrame macro="">
          <xdr:nvGraphicFramePr>
            <xdr:cNvPr id="39" name="Department 1">
              <a:extLst>
                <a:ext uri="{FF2B5EF4-FFF2-40B4-BE49-F238E27FC236}">
                  <a16:creationId xmlns:a16="http://schemas.microsoft.com/office/drawing/2014/main" xmlns="" id="{1E43F43B-0125-4160-9F1C-028FDB3A5AE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4545" y="878230"/>
              <a:ext cx="1525900" cy="1806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125915</xdr:colOff>
      <xdr:row>15</xdr:row>
      <xdr:rowOff>8595</xdr:rowOff>
    </xdr:from>
    <xdr:to>
      <xdr:col>2</xdr:col>
      <xdr:colOff>418171</xdr:colOff>
      <xdr:row>19</xdr:row>
      <xdr:rowOff>141480</xdr:rowOff>
    </xdr:to>
    <mc:AlternateContent xmlns:mc="http://schemas.openxmlformats.org/markup-compatibility/2006" xmlns:a14="http://schemas.microsoft.com/office/drawing/2010/main">
      <mc:Choice Requires="a14">
        <xdr:graphicFrame macro="">
          <xdr:nvGraphicFramePr>
            <xdr:cNvPr id="40" name="Gender 1">
              <a:extLst>
                <a:ext uri="{FF2B5EF4-FFF2-40B4-BE49-F238E27FC236}">
                  <a16:creationId xmlns:a16="http://schemas.microsoft.com/office/drawing/2014/main" xmlns="" id="{DC8A5585-DFC9-4CCB-A2BD-0A286EB4801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5915" y="2822800"/>
              <a:ext cx="1504529" cy="883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20</xdr:row>
      <xdr:rowOff>113138</xdr:rowOff>
    </xdr:from>
    <xdr:to>
      <xdr:col>2</xdr:col>
      <xdr:colOff>418170</xdr:colOff>
      <xdr:row>25</xdr:row>
      <xdr:rowOff>98270</xdr:rowOff>
    </xdr:to>
    <mc:AlternateContent xmlns:mc="http://schemas.openxmlformats.org/markup-compatibility/2006" xmlns:a14="http://schemas.microsoft.com/office/drawing/2010/main">
      <mc:Choice Requires="a14">
        <xdr:graphicFrame macro="">
          <xdr:nvGraphicFramePr>
            <xdr:cNvPr id="41" name="Attrition 1">
              <a:extLst>
                <a:ext uri="{FF2B5EF4-FFF2-40B4-BE49-F238E27FC236}">
                  <a16:creationId xmlns:a16="http://schemas.microsoft.com/office/drawing/2014/main" xmlns="" id="{A63F1343-7405-4BB8-99AC-279465D98BD0}"/>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14299" y="3865411"/>
              <a:ext cx="1516144" cy="92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278781</xdr:colOff>
      <xdr:row>0</xdr:row>
      <xdr:rowOff>92928</xdr:rowOff>
    </xdr:from>
    <xdr:to>
      <xdr:col>4</xdr:col>
      <xdr:colOff>298061</xdr:colOff>
      <xdr:row>3</xdr:row>
      <xdr:rowOff>158672</xdr:rowOff>
    </xdr:to>
    <xdr:pic>
      <xdr:nvPicPr>
        <xdr:cNvPr id="43" name="Picture 42">
          <a:extLst>
            <a:ext uri="{FF2B5EF4-FFF2-40B4-BE49-F238E27FC236}">
              <a16:creationId xmlns:a16="http://schemas.microsoft.com/office/drawing/2014/main" xmlns="" id="{87300FAF-FD8D-0C8B-B0B6-DEC5FC7B5073}"/>
            </a:ext>
          </a:extLst>
        </xdr:cNvPr>
        <xdr:cNvPicPr>
          <a:picLocks noChangeAspect="1"/>
        </xdr:cNvPicPr>
      </xdr:nvPicPr>
      <xdr:blipFill>
        <a:blip xmlns:r="http://schemas.openxmlformats.org/officeDocument/2006/relationships" r:embed="rId6">
          <a:grayscl/>
          <a:extLst>
            <a:ext uri="{BEBA8EAE-BF5A-486C-A8C5-ECC9F3942E4B}">
              <a14:imgProps xmlns:a14="http://schemas.microsoft.com/office/drawing/2010/main">
                <a14:imgLayer r:embed="rId7">
                  <a14:imgEffect>
                    <a14:saturation sat="0"/>
                  </a14:imgEffect>
                </a14:imgLayer>
              </a14:imgProps>
            </a:ext>
            <a:ext uri="{28A0092B-C50C-407E-A947-70E740481C1C}">
              <a14:useLocalDpi xmlns:a14="http://schemas.microsoft.com/office/drawing/2010/main" val="0"/>
            </a:ext>
          </a:extLst>
        </a:blip>
        <a:stretch>
          <a:fillRect/>
        </a:stretch>
      </xdr:blipFill>
      <xdr:spPr>
        <a:xfrm>
          <a:off x="2090854" y="92928"/>
          <a:ext cx="623305" cy="623305"/>
        </a:xfrm>
        <a:prstGeom prst="rect">
          <a:avLst/>
        </a:prstGeom>
        <a:solidFill>
          <a:schemeClr val="bg1"/>
        </a:solidFill>
      </xdr:spPr>
    </xdr:pic>
    <xdr:clientData/>
  </xdr:twoCellAnchor>
  <xdr:twoCellAnchor>
    <xdr:from>
      <xdr:col>15</xdr:col>
      <xdr:colOff>505114</xdr:colOff>
      <xdr:row>21</xdr:row>
      <xdr:rowOff>187613</xdr:rowOff>
    </xdr:from>
    <xdr:to>
      <xdr:col>22</xdr:col>
      <xdr:colOff>12944</xdr:colOff>
      <xdr:row>33</xdr:row>
      <xdr:rowOff>56958</xdr:rowOff>
    </xdr:to>
    <xdr:sp macro="" textlink="">
      <xdr:nvSpPr>
        <xdr:cNvPr id="48" name="Rectangle 47">
          <a:extLst>
            <a:ext uri="{FF2B5EF4-FFF2-40B4-BE49-F238E27FC236}">
              <a16:creationId xmlns:a16="http://schemas.microsoft.com/office/drawing/2014/main" xmlns="" id="{050432A7-31C0-4C5E-8880-B995DBA86301}"/>
            </a:ext>
          </a:extLst>
        </xdr:cNvPr>
        <xdr:cNvSpPr/>
      </xdr:nvSpPr>
      <xdr:spPr>
        <a:xfrm>
          <a:off x="9597159" y="4127499"/>
          <a:ext cx="3750785" cy="2120709"/>
        </a:xfrm>
        <a:prstGeom prst="rect">
          <a:avLst/>
        </a:prstGeom>
        <a:noFill/>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505115</xdr:colOff>
      <xdr:row>23</xdr:row>
      <xdr:rowOff>163286</xdr:rowOff>
    </xdr:from>
    <xdr:to>
      <xdr:col>22</xdr:col>
      <xdr:colOff>14432</xdr:colOff>
      <xdr:row>34</xdr:row>
      <xdr:rowOff>0</xdr:rowOff>
    </xdr:to>
    <xdr:graphicFrame macro="">
      <xdr:nvGraphicFramePr>
        <xdr:cNvPr id="49" name="Chart 48">
          <a:extLst>
            <a:ext uri="{FF2B5EF4-FFF2-40B4-BE49-F238E27FC236}">
              <a16:creationId xmlns:a16="http://schemas.microsoft.com/office/drawing/2014/main" xmlns="" id="{38E10D55-AE2D-4EA3-A2C8-484098150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548411</xdr:colOff>
      <xdr:row>21</xdr:row>
      <xdr:rowOff>187613</xdr:rowOff>
    </xdr:from>
    <xdr:to>
      <xdr:col>22</xdr:col>
      <xdr:colOff>57729</xdr:colOff>
      <xdr:row>24</xdr:row>
      <xdr:rowOff>43295</xdr:rowOff>
    </xdr:to>
    <xdr:sp macro="" textlink="">
      <xdr:nvSpPr>
        <xdr:cNvPr id="51" name="TextBox 50">
          <a:extLst>
            <a:ext uri="{FF2B5EF4-FFF2-40B4-BE49-F238E27FC236}">
              <a16:creationId xmlns:a16="http://schemas.microsoft.com/office/drawing/2014/main" xmlns="" id="{4C690D28-4111-D18E-3B82-03072C664CC7}"/>
            </a:ext>
          </a:extLst>
        </xdr:cNvPr>
        <xdr:cNvSpPr txBox="1"/>
      </xdr:nvSpPr>
      <xdr:spPr>
        <a:xfrm>
          <a:off x="9640456" y="4127499"/>
          <a:ext cx="3752273" cy="418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rgbClr val="00B0F0"/>
              </a:solidFill>
              <a:effectLst/>
              <a:latin typeface="+mn-lt"/>
              <a:ea typeface="+mn-ea"/>
              <a:cs typeface="+mn-cs"/>
            </a:rPr>
            <a:t>Department-wise Average  Salary</a:t>
          </a:r>
          <a:endParaRPr lang="en-IN" sz="2000" b="1">
            <a:solidFill>
              <a:srgbClr val="00B0F0"/>
            </a:solidFill>
            <a:effectLst/>
          </a:endParaRPr>
        </a:p>
        <a:p>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yali Taralekar" refreshedDate="46193.327263194442" createdVersion="8" refreshedVersion="8" minRefreshableVersion="3" recordCount="100">
  <cacheSource type="worksheet">
    <worksheetSource ref="A1:I101" sheet="Employee_Data"/>
  </cacheSource>
  <cacheFields count="9">
    <cacheField name="Emp ID" numFmtId="0">
      <sharedItems/>
    </cacheField>
    <cacheField name="Employee Name" numFmtId="0">
      <sharedItems/>
    </cacheField>
    <cacheField name="Department" numFmtId="0">
      <sharedItems count="5">
        <s v="Marketing"/>
        <s v="HR"/>
        <s v="Sales"/>
        <s v="IT"/>
        <s v="Finance"/>
      </sharedItems>
    </cacheField>
    <cacheField name="Gender" numFmtId="0">
      <sharedItems count="2">
        <s v="Male"/>
        <s v="Female"/>
      </sharedItems>
    </cacheField>
    <cacheField name="Age" numFmtId="0">
      <sharedItems containsSemiMixedTypes="0" containsString="0" containsNumber="1" containsInteger="1" minValue="22" maxValue="45"/>
    </cacheField>
    <cacheField name="Salary" numFmtId="0">
      <sharedItems containsSemiMixedTypes="0" containsString="0" containsNumber="1" containsInteger="1" minValue="31054" maxValue="89842"/>
    </cacheField>
    <cacheField name="Performance Rating" numFmtId="0">
      <sharedItems containsSemiMixedTypes="0" containsString="0" containsNumber="1" containsInteger="1" minValue="2" maxValue="5"/>
    </cacheField>
    <cacheField name="Attrition" numFmtId="0">
      <sharedItems count="2">
        <s v="No"/>
        <s v="Yes"/>
      </sharedItems>
    </cacheField>
    <cacheField name="Joining Date" numFmtId="164">
      <sharedItems containsSemiMixedTypes="0" containsNonDate="0" containsDate="1" containsString="0" minDate="2019-01-31T00:00:00" maxDate="2025-10-18T00:00:00"/>
    </cacheField>
  </cacheFields>
  <extLst>
    <ext xmlns:x14="http://schemas.microsoft.com/office/spreadsheetml/2009/9/main" uri="{725AE2AE-9491-48be-B2B4-4EB974FC3084}">
      <x14:pivotCacheDefinition pivotCacheId="1480476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001"/>
    <s v="Vivek Joshi"/>
    <x v="0"/>
    <x v="0"/>
    <n v="31"/>
    <n v="51072"/>
    <n v="5"/>
    <x v="0"/>
    <d v="2019-07-19T00:00:00"/>
  </r>
  <r>
    <s v="E002"/>
    <s v="Rohan Singh"/>
    <x v="1"/>
    <x v="0"/>
    <n v="25"/>
    <n v="77688"/>
    <n v="4"/>
    <x v="0"/>
    <d v="2023-09-04T00:00:00"/>
  </r>
  <r>
    <s v="E003"/>
    <s v="Karan Mehta"/>
    <x v="0"/>
    <x v="0"/>
    <n v="28"/>
    <n v="47774"/>
    <n v="4"/>
    <x v="0"/>
    <d v="2024-04-02T00:00:00"/>
  </r>
  <r>
    <s v="E004"/>
    <s v="Shweta Singh"/>
    <x v="1"/>
    <x v="1"/>
    <n v="29"/>
    <n v="74449"/>
    <n v="2"/>
    <x v="0"/>
    <d v="2023-04-19T00:00:00"/>
  </r>
  <r>
    <s v="E005"/>
    <s v="Aarti Patil"/>
    <x v="2"/>
    <x v="1"/>
    <n v="37"/>
    <n v="52233"/>
    <n v="5"/>
    <x v="0"/>
    <d v="2025-05-05T00:00:00"/>
  </r>
  <r>
    <s v="E006"/>
    <s v="Anjali Sharma"/>
    <x v="3"/>
    <x v="1"/>
    <n v="32"/>
    <n v="41958"/>
    <n v="2"/>
    <x v="0"/>
    <d v="2021-11-16T00:00:00"/>
  </r>
  <r>
    <s v="E007"/>
    <s v="Karan Sharma"/>
    <x v="0"/>
    <x v="0"/>
    <n v="40"/>
    <n v="50270"/>
    <n v="3"/>
    <x v="0"/>
    <d v="2023-11-03T00:00:00"/>
  </r>
  <r>
    <s v="E008"/>
    <s v="Karan Shah"/>
    <x v="4"/>
    <x v="0"/>
    <n v="32"/>
    <n v="54612"/>
    <n v="3"/>
    <x v="0"/>
    <d v="2020-06-23T00:00:00"/>
  </r>
  <r>
    <s v="E009"/>
    <s v="Karan Joshi"/>
    <x v="1"/>
    <x v="0"/>
    <n v="24"/>
    <n v="45213"/>
    <n v="5"/>
    <x v="0"/>
    <d v="2024-03-08T00:00:00"/>
  </r>
  <r>
    <s v="E010"/>
    <s v="Akash Mehta"/>
    <x v="3"/>
    <x v="0"/>
    <n v="31"/>
    <n v="34926"/>
    <n v="5"/>
    <x v="0"/>
    <d v="2022-05-13T00:00:00"/>
  </r>
  <r>
    <s v="E011"/>
    <s v="Sneha Sharma"/>
    <x v="3"/>
    <x v="1"/>
    <n v="41"/>
    <n v="55494"/>
    <n v="5"/>
    <x v="0"/>
    <d v="2023-04-30T00:00:00"/>
  </r>
  <r>
    <s v="E012"/>
    <s v="Vikas Jadhav"/>
    <x v="1"/>
    <x v="0"/>
    <n v="31"/>
    <n v="77321"/>
    <n v="3"/>
    <x v="1"/>
    <d v="2022-04-26T00:00:00"/>
  </r>
  <r>
    <s v="E013"/>
    <s v="Karan Shah"/>
    <x v="2"/>
    <x v="0"/>
    <n v="30"/>
    <n v="69892"/>
    <n v="4"/>
    <x v="1"/>
    <d v="2024-07-14T00:00:00"/>
  </r>
  <r>
    <s v="E014"/>
    <s v="Priya Mehta"/>
    <x v="2"/>
    <x v="1"/>
    <n v="43"/>
    <n v="39773"/>
    <n v="5"/>
    <x v="0"/>
    <d v="2022-05-23T00:00:00"/>
  </r>
  <r>
    <s v="E015"/>
    <s v="Pooja Sharma"/>
    <x v="2"/>
    <x v="1"/>
    <n v="36"/>
    <n v="38255"/>
    <n v="2"/>
    <x v="0"/>
    <d v="2020-09-19T00:00:00"/>
  </r>
  <r>
    <s v="E016"/>
    <s v="Rohan Verma"/>
    <x v="4"/>
    <x v="0"/>
    <n v="34"/>
    <n v="81842"/>
    <n v="4"/>
    <x v="0"/>
    <d v="2023-05-15T00:00:00"/>
  </r>
  <r>
    <s v="E017"/>
    <s v="Aditya Shah"/>
    <x v="0"/>
    <x v="0"/>
    <n v="45"/>
    <n v="60143"/>
    <n v="3"/>
    <x v="0"/>
    <d v="2020-11-08T00:00:00"/>
  </r>
  <r>
    <s v="E018"/>
    <s v="Kavya Gupta"/>
    <x v="1"/>
    <x v="1"/>
    <n v="22"/>
    <n v="67441"/>
    <n v="5"/>
    <x v="0"/>
    <d v="2019-05-01T00:00:00"/>
  </r>
  <r>
    <s v="E019"/>
    <s v="Sneha Shah"/>
    <x v="0"/>
    <x v="1"/>
    <n v="33"/>
    <n v="84373"/>
    <n v="2"/>
    <x v="0"/>
    <d v="2023-02-03T00:00:00"/>
  </r>
  <r>
    <s v="E020"/>
    <s v="Meera Sharma"/>
    <x v="0"/>
    <x v="1"/>
    <n v="42"/>
    <n v="79318"/>
    <n v="4"/>
    <x v="0"/>
    <d v="2021-02-01T00:00:00"/>
  </r>
  <r>
    <s v="E021"/>
    <s v="Pooja Shah"/>
    <x v="3"/>
    <x v="1"/>
    <n v="36"/>
    <n v="73438"/>
    <n v="5"/>
    <x v="0"/>
    <d v="2024-05-18T00:00:00"/>
  </r>
  <r>
    <s v="E022"/>
    <s v="Kavya Verma"/>
    <x v="0"/>
    <x v="1"/>
    <n v="22"/>
    <n v="63670"/>
    <n v="4"/>
    <x v="0"/>
    <d v="2020-04-02T00:00:00"/>
  </r>
  <r>
    <s v="E023"/>
    <s v="Amit Gupta"/>
    <x v="0"/>
    <x v="0"/>
    <n v="28"/>
    <n v="38824"/>
    <n v="5"/>
    <x v="0"/>
    <d v="2022-04-17T00:00:00"/>
  </r>
  <r>
    <s v="E024"/>
    <s v="Akash Joshi"/>
    <x v="1"/>
    <x v="0"/>
    <n v="45"/>
    <n v="59450"/>
    <n v="4"/>
    <x v="0"/>
    <d v="2022-08-22T00:00:00"/>
  </r>
  <r>
    <s v="E025"/>
    <s v="Shweta Verma"/>
    <x v="2"/>
    <x v="1"/>
    <n v="23"/>
    <n v="87033"/>
    <n v="5"/>
    <x v="0"/>
    <d v="2020-08-06T00:00:00"/>
  </r>
  <r>
    <s v="E026"/>
    <s v="Aarti Joshi"/>
    <x v="3"/>
    <x v="1"/>
    <n v="22"/>
    <n v="52883"/>
    <n v="3"/>
    <x v="0"/>
    <d v="2019-08-04T00:00:00"/>
  </r>
  <r>
    <s v="E027"/>
    <s v="Karan Patil"/>
    <x v="3"/>
    <x v="0"/>
    <n v="24"/>
    <n v="85348"/>
    <n v="2"/>
    <x v="0"/>
    <d v="2021-12-20T00:00:00"/>
  </r>
  <r>
    <s v="E028"/>
    <s v="Vivek Singh"/>
    <x v="0"/>
    <x v="0"/>
    <n v="22"/>
    <n v="32842"/>
    <n v="3"/>
    <x v="0"/>
    <d v="2021-10-01T00:00:00"/>
  </r>
  <r>
    <s v="E029"/>
    <s v="Rohan Joshi"/>
    <x v="4"/>
    <x v="0"/>
    <n v="41"/>
    <n v="61290"/>
    <n v="2"/>
    <x v="0"/>
    <d v="2024-02-13T00:00:00"/>
  </r>
  <r>
    <s v="E030"/>
    <s v="Akash Verma"/>
    <x v="4"/>
    <x v="0"/>
    <n v="30"/>
    <n v="42758"/>
    <n v="2"/>
    <x v="0"/>
    <d v="2020-07-08T00:00:00"/>
  </r>
  <r>
    <s v="E031"/>
    <s v="Anjali Shah"/>
    <x v="2"/>
    <x v="1"/>
    <n v="26"/>
    <n v="31054"/>
    <n v="3"/>
    <x v="0"/>
    <d v="2024-05-04T00:00:00"/>
  </r>
  <r>
    <s v="E032"/>
    <s v="Amit Sharma"/>
    <x v="0"/>
    <x v="0"/>
    <n v="24"/>
    <n v="89842"/>
    <n v="5"/>
    <x v="0"/>
    <d v="2021-08-15T00:00:00"/>
  </r>
  <r>
    <s v="E033"/>
    <s v="Rahul Shah"/>
    <x v="2"/>
    <x v="0"/>
    <n v="45"/>
    <n v="39929"/>
    <n v="5"/>
    <x v="0"/>
    <d v="2024-06-10T00:00:00"/>
  </r>
  <r>
    <s v="E034"/>
    <s v="Meera Jadhav"/>
    <x v="1"/>
    <x v="1"/>
    <n v="32"/>
    <n v="82281"/>
    <n v="3"/>
    <x v="0"/>
    <d v="2021-09-10T00:00:00"/>
  </r>
  <r>
    <s v="E035"/>
    <s v="Neha Mehta"/>
    <x v="0"/>
    <x v="1"/>
    <n v="23"/>
    <n v="62499"/>
    <n v="5"/>
    <x v="1"/>
    <d v="2019-05-13T00:00:00"/>
  </r>
  <r>
    <s v="E036"/>
    <s v="Karan Joshi"/>
    <x v="3"/>
    <x v="0"/>
    <n v="35"/>
    <n v="66432"/>
    <n v="2"/>
    <x v="0"/>
    <d v="2025-07-01T00:00:00"/>
  </r>
  <r>
    <s v="E037"/>
    <s v="Shweta Joshi"/>
    <x v="0"/>
    <x v="1"/>
    <n v="33"/>
    <n v="35115"/>
    <n v="2"/>
    <x v="0"/>
    <d v="2021-07-29T00:00:00"/>
  </r>
  <r>
    <s v="E038"/>
    <s v="Akash Patil"/>
    <x v="4"/>
    <x v="0"/>
    <n v="43"/>
    <n v="55417"/>
    <n v="3"/>
    <x v="0"/>
    <d v="2019-05-23T00:00:00"/>
  </r>
  <r>
    <s v="E039"/>
    <s v="Meera Jadhav"/>
    <x v="2"/>
    <x v="1"/>
    <n v="30"/>
    <n v="86981"/>
    <n v="3"/>
    <x v="0"/>
    <d v="2022-10-06T00:00:00"/>
  </r>
  <r>
    <s v="E040"/>
    <s v="Amit Mehta"/>
    <x v="2"/>
    <x v="0"/>
    <n v="36"/>
    <n v="73483"/>
    <n v="3"/>
    <x v="1"/>
    <d v="2021-12-01T00:00:00"/>
  </r>
  <r>
    <s v="E041"/>
    <s v="Karan Singh"/>
    <x v="1"/>
    <x v="0"/>
    <n v="33"/>
    <n v="85020"/>
    <n v="2"/>
    <x v="0"/>
    <d v="2025-01-22T00:00:00"/>
  </r>
  <r>
    <s v="E042"/>
    <s v="Priya Mehta"/>
    <x v="4"/>
    <x v="1"/>
    <n v="38"/>
    <n v="61192"/>
    <n v="2"/>
    <x v="0"/>
    <d v="2021-10-22T00:00:00"/>
  </r>
  <r>
    <s v="E043"/>
    <s v="Shweta Kulkarni"/>
    <x v="4"/>
    <x v="1"/>
    <n v="22"/>
    <n v="34593"/>
    <n v="4"/>
    <x v="0"/>
    <d v="2024-03-28T00:00:00"/>
  </r>
  <r>
    <s v="E044"/>
    <s v="Aditya Kulkarni"/>
    <x v="4"/>
    <x v="0"/>
    <n v="28"/>
    <n v="55246"/>
    <n v="5"/>
    <x v="0"/>
    <d v="2022-09-13T00:00:00"/>
  </r>
  <r>
    <s v="E045"/>
    <s v="Meera Mehta"/>
    <x v="4"/>
    <x v="1"/>
    <n v="32"/>
    <n v="39700"/>
    <n v="3"/>
    <x v="0"/>
    <d v="2019-12-04T00:00:00"/>
  </r>
  <r>
    <s v="E046"/>
    <s v="Sneha Patil"/>
    <x v="4"/>
    <x v="1"/>
    <n v="27"/>
    <n v="38474"/>
    <n v="5"/>
    <x v="0"/>
    <d v="2021-11-03T00:00:00"/>
  </r>
  <r>
    <s v="E047"/>
    <s v="Aarti Jadhav"/>
    <x v="0"/>
    <x v="1"/>
    <n v="43"/>
    <n v="68588"/>
    <n v="5"/>
    <x v="1"/>
    <d v="2019-07-07T00:00:00"/>
  </r>
  <r>
    <s v="E048"/>
    <s v="Rohan Singh"/>
    <x v="3"/>
    <x v="0"/>
    <n v="31"/>
    <n v="68119"/>
    <n v="4"/>
    <x v="0"/>
    <d v="2025-08-19T00:00:00"/>
  </r>
  <r>
    <s v="E049"/>
    <s v="Aarti Shah"/>
    <x v="1"/>
    <x v="1"/>
    <n v="25"/>
    <n v="88238"/>
    <n v="3"/>
    <x v="0"/>
    <d v="2024-06-16T00:00:00"/>
  </r>
  <r>
    <s v="E050"/>
    <s v="Meera Gupta"/>
    <x v="1"/>
    <x v="1"/>
    <n v="31"/>
    <n v="79890"/>
    <n v="4"/>
    <x v="0"/>
    <d v="2019-03-25T00:00:00"/>
  </r>
  <r>
    <s v="E051"/>
    <s v="Shweta Joshi"/>
    <x v="3"/>
    <x v="1"/>
    <n v="33"/>
    <n v="71813"/>
    <n v="4"/>
    <x v="0"/>
    <d v="2021-11-19T00:00:00"/>
  </r>
  <r>
    <s v="E052"/>
    <s v="Vikas Joshi"/>
    <x v="3"/>
    <x v="0"/>
    <n v="30"/>
    <n v="73564"/>
    <n v="4"/>
    <x v="0"/>
    <d v="2021-06-26T00:00:00"/>
  </r>
  <r>
    <s v="E053"/>
    <s v="Akash Shah"/>
    <x v="1"/>
    <x v="0"/>
    <n v="39"/>
    <n v="53194"/>
    <n v="2"/>
    <x v="0"/>
    <d v="2021-12-25T00:00:00"/>
  </r>
  <r>
    <s v="E054"/>
    <s v="Aarti Mehta"/>
    <x v="1"/>
    <x v="1"/>
    <n v="40"/>
    <n v="51613"/>
    <n v="5"/>
    <x v="0"/>
    <d v="2020-08-20T00:00:00"/>
  </r>
  <r>
    <s v="E055"/>
    <s v="Saurabh Gupta"/>
    <x v="2"/>
    <x v="0"/>
    <n v="30"/>
    <n v="37966"/>
    <n v="5"/>
    <x v="0"/>
    <d v="2024-10-31T00:00:00"/>
  </r>
  <r>
    <s v="E056"/>
    <s v="Karan Singh"/>
    <x v="3"/>
    <x v="0"/>
    <n v="35"/>
    <n v="80270"/>
    <n v="2"/>
    <x v="1"/>
    <d v="2020-07-14T00:00:00"/>
  </r>
  <r>
    <s v="E057"/>
    <s v="Vivek Mehta"/>
    <x v="3"/>
    <x v="0"/>
    <n v="29"/>
    <n v="57017"/>
    <n v="5"/>
    <x v="0"/>
    <d v="2020-04-20T00:00:00"/>
  </r>
  <r>
    <s v="E058"/>
    <s v="Sneha Singh"/>
    <x v="4"/>
    <x v="1"/>
    <n v="41"/>
    <n v="89673"/>
    <n v="2"/>
    <x v="0"/>
    <d v="2021-03-13T00:00:00"/>
  </r>
  <r>
    <s v="E059"/>
    <s v="Kavya Joshi"/>
    <x v="1"/>
    <x v="1"/>
    <n v="38"/>
    <n v="36267"/>
    <n v="5"/>
    <x v="0"/>
    <d v="2023-01-13T00:00:00"/>
  </r>
  <r>
    <s v="E060"/>
    <s v="Karan Gupta"/>
    <x v="1"/>
    <x v="0"/>
    <n v="23"/>
    <n v="48435"/>
    <n v="4"/>
    <x v="0"/>
    <d v="2019-01-31T00:00:00"/>
  </r>
  <r>
    <s v="E061"/>
    <s v="Akash Jadhav"/>
    <x v="3"/>
    <x v="0"/>
    <n v="35"/>
    <n v="36273"/>
    <n v="4"/>
    <x v="1"/>
    <d v="2024-03-18T00:00:00"/>
  </r>
  <r>
    <s v="E062"/>
    <s v="Priya Gupta"/>
    <x v="0"/>
    <x v="1"/>
    <n v="26"/>
    <n v="63622"/>
    <n v="2"/>
    <x v="0"/>
    <d v="2022-06-21T00:00:00"/>
  </r>
  <r>
    <s v="E063"/>
    <s v="Vikas Jadhav"/>
    <x v="0"/>
    <x v="0"/>
    <n v="27"/>
    <n v="65681"/>
    <n v="3"/>
    <x v="0"/>
    <d v="2023-04-18T00:00:00"/>
  </r>
  <r>
    <s v="E064"/>
    <s v="Karan Mehta"/>
    <x v="3"/>
    <x v="0"/>
    <n v="42"/>
    <n v="67545"/>
    <n v="3"/>
    <x v="0"/>
    <d v="2025-04-23T00:00:00"/>
  </r>
  <r>
    <s v="E065"/>
    <s v="Shweta Sharma"/>
    <x v="0"/>
    <x v="1"/>
    <n v="24"/>
    <n v="72198"/>
    <n v="3"/>
    <x v="0"/>
    <d v="2025-10-07T00:00:00"/>
  </r>
  <r>
    <s v="E066"/>
    <s v="Sneha Mehta"/>
    <x v="3"/>
    <x v="1"/>
    <n v="29"/>
    <n v="79839"/>
    <n v="3"/>
    <x v="0"/>
    <d v="2023-04-05T00:00:00"/>
  </r>
  <r>
    <s v="E067"/>
    <s v="Saurabh Gupta"/>
    <x v="1"/>
    <x v="0"/>
    <n v="38"/>
    <n v="62999"/>
    <n v="5"/>
    <x v="0"/>
    <d v="2023-01-14T00:00:00"/>
  </r>
  <r>
    <s v="E068"/>
    <s v="Pooja Sharma"/>
    <x v="1"/>
    <x v="1"/>
    <n v="22"/>
    <n v="88405"/>
    <n v="5"/>
    <x v="0"/>
    <d v="2021-02-08T00:00:00"/>
  </r>
  <r>
    <s v="E069"/>
    <s v="Priya Mehta"/>
    <x v="4"/>
    <x v="1"/>
    <n v="33"/>
    <n v="32054"/>
    <n v="4"/>
    <x v="0"/>
    <d v="2020-06-18T00:00:00"/>
  </r>
  <r>
    <s v="E070"/>
    <s v="Meera Sharma"/>
    <x v="0"/>
    <x v="1"/>
    <n v="31"/>
    <n v="63828"/>
    <n v="4"/>
    <x v="1"/>
    <d v="2021-12-16T00:00:00"/>
  </r>
  <r>
    <s v="E071"/>
    <s v="Neha Singh"/>
    <x v="0"/>
    <x v="1"/>
    <n v="39"/>
    <n v="66397"/>
    <n v="3"/>
    <x v="0"/>
    <d v="2020-05-18T00:00:00"/>
  </r>
  <r>
    <s v="E072"/>
    <s v="Amit Singh"/>
    <x v="4"/>
    <x v="0"/>
    <n v="42"/>
    <n v="87525"/>
    <n v="2"/>
    <x v="0"/>
    <d v="2023-09-23T00:00:00"/>
  </r>
  <r>
    <s v="E073"/>
    <s v="Saurabh Joshi"/>
    <x v="2"/>
    <x v="0"/>
    <n v="23"/>
    <n v="78621"/>
    <n v="4"/>
    <x v="1"/>
    <d v="2019-06-19T00:00:00"/>
  </r>
  <r>
    <s v="E074"/>
    <s v="Aarti Mehta"/>
    <x v="3"/>
    <x v="1"/>
    <n v="36"/>
    <n v="75381"/>
    <n v="3"/>
    <x v="0"/>
    <d v="2025-08-05T00:00:00"/>
  </r>
  <r>
    <s v="E075"/>
    <s v="Vivek Mehta"/>
    <x v="4"/>
    <x v="0"/>
    <n v="34"/>
    <n v="75340"/>
    <n v="5"/>
    <x v="0"/>
    <d v="2024-02-29T00:00:00"/>
  </r>
  <r>
    <s v="E076"/>
    <s v="Rohan Gupta"/>
    <x v="2"/>
    <x v="0"/>
    <n v="34"/>
    <n v="79607"/>
    <n v="2"/>
    <x v="0"/>
    <d v="2022-10-25T00:00:00"/>
  </r>
  <r>
    <s v="E077"/>
    <s v="Neha Kulkarni"/>
    <x v="1"/>
    <x v="1"/>
    <n v="43"/>
    <n v="86255"/>
    <n v="3"/>
    <x v="0"/>
    <d v="2025-10-04T00:00:00"/>
  </r>
  <r>
    <s v="E078"/>
    <s v="Nikhil Jadhav"/>
    <x v="2"/>
    <x v="0"/>
    <n v="33"/>
    <n v="56268"/>
    <n v="5"/>
    <x v="0"/>
    <d v="2024-01-28T00:00:00"/>
  </r>
  <r>
    <s v="E079"/>
    <s v="Rahul Jadhav"/>
    <x v="3"/>
    <x v="0"/>
    <n v="25"/>
    <n v="68939"/>
    <n v="4"/>
    <x v="0"/>
    <d v="2021-11-09T00:00:00"/>
  </r>
  <r>
    <s v="E080"/>
    <s v="Anjali Verma"/>
    <x v="2"/>
    <x v="1"/>
    <n v="41"/>
    <n v="64562"/>
    <n v="5"/>
    <x v="0"/>
    <d v="2025-10-17T00:00:00"/>
  </r>
  <r>
    <s v="E081"/>
    <s v="Meera Patil"/>
    <x v="0"/>
    <x v="1"/>
    <n v="25"/>
    <n v="61057"/>
    <n v="5"/>
    <x v="0"/>
    <d v="2019-08-20T00:00:00"/>
  </r>
  <r>
    <s v="E082"/>
    <s v="Akash Verma"/>
    <x v="1"/>
    <x v="0"/>
    <n v="33"/>
    <n v="75720"/>
    <n v="2"/>
    <x v="1"/>
    <d v="2024-05-02T00:00:00"/>
  </r>
  <r>
    <s v="E083"/>
    <s v="Saurabh Shah"/>
    <x v="1"/>
    <x v="0"/>
    <n v="44"/>
    <n v="63055"/>
    <n v="2"/>
    <x v="0"/>
    <d v="2020-08-20T00:00:00"/>
  </r>
  <r>
    <s v="E084"/>
    <s v="Kavya Joshi"/>
    <x v="2"/>
    <x v="1"/>
    <n v="32"/>
    <n v="84132"/>
    <n v="4"/>
    <x v="0"/>
    <d v="2024-12-22T00:00:00"/>
  </r>
  <r>
    <s v="E085"/>
    <s v="Rutuja Jadhav"/>
    <x v="2"/>
    <x v="1"/>
    <n v="32"/>
    <n v="72833"/>
    <n v="5"/>
    <x v="0"/>
    <d v="2022-08-03T00:00:00"/>
  </r>
  <r>
    <s v="E086"/>
    <s v="Neha Sharma"/>
    <x v="3"/>
    <x v="1"/>
    <n v="29"/>
    <n v="44369"/>
    <n v="4"/>
    <x v="0"/>
    <d v="2023-08-17T00:00:00"/>
  </r>
  <r>
    <s v="E087"/>
    <s v="Aditya Verma"/>
    <x v="1"/>
    <x v="0"/>
    <n v="40"/>
    <n v="31557"/>
    <n v="3"/>
    <x v="0"/>
    <d v="2023-02-02T00:00:00"/>
  </r>
  <r>
    <s v="E088"/>
    <s v="Anjali Sharma"/>
    <x v="2"/>
    <x v="1"/>
    <n v="36"/>
    <n v="52507"/>
    <n v="4"/>
    <x v="0"/>
    <d v="2020-07-24T00:00:00"/>
  </r>
  <r>
    <s v="E089"/>
    <s v="Kavya Shah"/>
    <x v="1"/>
    <x v="1"/>
    <n v="40"/>
    <n v="51675"/>
    <n v="3"/>
    <x v="1"/>
    <d v="2021-08-09T00:00:00"/>
  </r>
  <r>
    <s v="E090"/>
    <s v="Kavya Sharma"/>
    <x v="0"/>
    <x v="1"/>
    <n v="39"/>
    <n v="67190"/>
    <n v="5"/>
    <x v="0"/>
    <d v="2023-05-15T00:00:00"/>
  </r>
  <r>
    <s v="E091"/>
    <s v="Meera Shah"/>
    <x v="0"/>
    <x v="1"/>
    <n v="28"/>
    <n v="73147"/>
    <n v="2"/>
    <x v="0"/>
    <d v="2023-07-02T00:00:00"/>
  </r>
  <r>
    <s v="E092"/>
    <s v="Shweta Verma"/>
    <x v="2"/>
    <x v="1"/>
    <n v="36"/>
    <n v="57597"/>
    <n v="4"/>
    <x v="0"/>
    <d v="2019-07-16T00:00:00"/>
  </r>
  <r>
    <s v="E093"/>
    <s v="Sneha Mehta"/>
    <x v="3"/>
    <x v="1"/>
    <n v="24"/>
    <n v="40132"/>
    <n v="2"/>
    <x v="0"/>
    <d v="2024-07-19T00:00:00"/>
  </r>
  <r>
    <s v="E094"/>
    <s v="Rahul Mehta"/>
    <x v="1"/>
    <x v="0"/>
    <n v="41"/>
    <n v="79502"/>
    <n v="3"/>
    <x v="0"/>
    <d v="2022-08-31T00:00:00"/>
  </r>
  <r>
    <s v="E095"/>
    <s v="Sneha Sharma"/>
    <x v="4"/>
    <x v="1"/>
    <n v="27"/>
    <n v="43277"/>
    <n v="5"/>
    <x v="0"/>
    <d v="2021-12-18T00:00:00"/>
  </r>
  <r>
    <s v="E096"/>
    <s v="Karan Kulkarni"/>
    <x v="2"/>
    <x v="0"/>
    <n v="31"/>
    <n v="31498"/>
    <n v="4"/>
    <x v="0"/>
    <d v="2023-10-05T00:00:00"/>
  </r>
  <r>
    <s v="E097"/>
    <s v="Anjali Singh"/>
    <x v="3"/>
    <x v="1"/>
    <n v="32"/>
    <n v="53123"/>
    <n v="2"/>
    <x v="1"/>
    <d v="2021-01-25T00:00:00"/>
  </r>
  <r>
    <s v="E098"/>
    <s v="Akash Gupta"/>
    <x v="0"/>
    <x v="0"/>
    <n v="44"/>
    <n v="50815"/>
    <n v="4"/>
    <x v="0"/>
    <d v="2024-02-11T00:00:00"/>
  </r>
  <r>
    <s v="E099"/>
    <s v="Shweta Shah"/>
    <x v="3"/>
    <x v="1"/>
    <n v="36"/>
    <n v="81471"/>
    <n v="3"/>
    <x v="0"/>
    <d v="2025-07-14T00:00:00"/>
  </r>
  <r>
    <s v="E100"/>
    <s v="Karan Shah"/>
    <x v="1"/>
    <x v="0"/>
    <n v="27"/>
    <n v="74746"/>
    <n v="5"/>
    <x v="0"/>
    <d v="2021-06-2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colHeaderCaption="Attrition">
  <location ref="G3:J10" firstHeaderRow="1" firstDataRow="2" firstDataCol="1"/>
  <pivotFields count="9">
    <pivotField dataField="1" showAll="0"/>
    <pivotField showAll="0"/>
    <pivotField axis="axisRow" showAll="0">
      <items count="6">
        <item x="4"/>
        <item x="1"/>
        <item x="3"/>
        <item x="0"/>
        <item x="2"/>
        <item t="default"/>
      </items>
    </pivotField>
    <pivotField showAll="0">
      <items count="3">
        <item x="1"/>
        <item x="0"/>
        <item t="default"/>
      </items>
    </pivotField>
    <pivotField showAll="0"/>
    <pivotField showAll="0"/>
    <pivotField showAll="0"/>
    <pivotField axis="axisCol" showAll="0">
      <items count="3">
        <item x="0"/>
        <item x="1"/>
        <item t="default"/>
      </items>
    </pivotField>
    <pivotField numFmtId="164" showAll="0"/>
  </pivotFields>
  <rowFields count="1">
    <field x="2"/>
  </rowFields>
  <rowItems count="6">
    <i>
      <x/>
    </i>
    <i>
      <x v="1"/>
    </i>
    <i>
      <x v="2"/>
    </i>
    <i>
      <x v="3"/>
    </i>
    <i>
      <x v="4"/>
    </i>
    <i t="grand">
      <x/>
    </i>
  </rowItems>
  <colFields count="1">
    <field x="7"/>
  </colFields>
  <colItems count="3">
    <i>
      <x/>
    </i>
    <i>
      <x v="1"/>
    </i>
    <i t="grand">
      <x/>
    </i>
  </colItems>
  <dataFields count="1">
    <dataField name="Count of Emp ID" fld="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D3:E6" firstHeaderRow="1" firstDataRow="1" firstDataCol="1"/>
  <pivotFields count="9">
    <pivotField dataField="1" showAll="0"/>
    <pivotField showAll="0"/>
    <pivotField showAll="0">
      <items count="6">
        <item x="4"/>
        <item x="1"/>
        <item x="3"/>
        <item x="0"/>
        <item x="2"/>
        <item t="default"/>
      </items>
    </pivotField>
    <pivotField axis="axisRow" showAll="0">
      <items count="3">
        <item x="1"/>
        <item x="0"/>
        <item t="default"/>
      </items>
    </pivotField>
    <pivotField showAll="0"/>
    <pivotField showAll="0"/>
    <pivotField showAll="0"/>
    <pivotField showAll="0">
      <items count="3">
        <item x="0"/>
        <item x="1"/>
        <item t="default"/>
      </items>
    </pivotField>
    <pivotField numFmtId="164" showAll="0"/>
  </pivotFields>
  <rowFields count="1">
    <field x="3"/>
  </rowFields>
  <rowItems count="3">
    <i>
      <x/>
    </i>
    <i>
      <x v="1"/>
    </i>
    <i t="grand">
      <x/>
    </i>
  </rowItems>
  <colItems count="1">
    <i/>
  </colItems>
  <dataFields count="1">
    <dataField name="Count of Emp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3" count="1" selected="0">
            <x v="0"/>
          </reference>
        </references>
      </pivotArea>
    </chartFormat>
    <chartFormat chart="9" format="7">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3:B9" firstHeaderRow="1" firstDataRow="1" firstDataCol="1"/>
  <pivotFields count="9">
    <pivotField dataField="1" showAll="0"/>
    <pivotField showAll="0"/>
    <pivotField axis="axisRow" showAll="0">
      <items count="6">
        <item x="4"/>
        <item x="1"/>
        <item x="3"/>
        <item x="0"/>
        <item x="2"/>
        <item t="default"/>
      </items>
    </pivotField>
    <pivotField showAll="0">
      <items count="3">
        <item x="1"/>
        <item x="0"/>
        <item t="default"/>
      </items>
    </pivotField>
    <pivotField showAll="0"/>
    <pivotField showAll="0"/>
    <pivotField showAll="0"/>
    <pivotField showAll="0">
      <items count="3">
        <item x="0"/>
        <item x="1"/>
        <item t="default"/>
      </items>
    </pivotField>
    <pivotField numFmtId="164" showAll="0"/>
  </pivotFields>
  <rowFields count="1">
    <field x="2"/>
  </rowFields>
  <rowItems count="6">
    <i>
      <x/>
    </i>
    <i>
      <x v="1"/>
    </i>
    <i>
      <x v="2"/>
    </i>
    <i>
      <x v="3"/>
    </i>
    <i>
      <x v="4"/>
    </i>
    <i t="grand">
      <x/>
    </i>
  </rowItems>
  <colItems count="1">
    <i/>
  </colItems>
  <dataFields count="1">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D12:E18" firstHeaderRow="1" firstDataRow="1" firstDataCol="1"/>
  <pivotFields count="9">
    <pivotField showAll="0"/>
    <pivotField showAll="0"/>
    <pivotField axis="axisRow" showAll="0">
      <items count="6">
        <item x="4"/>
        <item x="1"/>
        <item x="3"/>
        <item x="0"/>
        <item x="2"/>
        <item t="default"/>
      </items>
    </pivotField>
    <pivotField showAll="0">
      <items count="3">
        <item x="1"/>
        <item x="0"/>
        <item t="default"/>
      </items>
    </pivotField>
    <pivotField showAll="0"/>
    <pivotField dataField="1" showAll="0"/>
    <pivotField showAll="0"/>
    <pivotField showAll="0">
      <items count="3">
        <item x="0"/>
        <item x="1"/>
        <item t="default"/>
      </items>
    </pivotField>
    <pivotField numFmtId="164" showAll="0"/>
  </pivotFields>
  <rowFields count="1">
    <field x="2"/>
  </rowFields>
  <rowItems count="6">
    <i>
      <x/>
    </i>
    <i>
      <x v="1"/>
    </i>
    <i>
      <x v="2"/>
    </i>
    <i>
      <x v="3"/>
    </i>
    <i>
      <x v="4"/>
    </i>
    <i t="grand">
      <x/>
    </i>
  </rowItems>
  <colItems count="1">
    <i/>
  </colItems>
  <dataFields count="1">
    <dataField name="Average of Salary" fld="5" subtotal="average" baseField="2" baseItem="0"/>
  </dataFields>
  <chartFormats count="7">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A12:B18" firstHeaderRow="1" firstDataRow="1" firstDataCol="1"/>
  <pivotFields count="9">
    <pivotField showAll="0"/>
    <pivotField showAll="0"/>
    <pivotField axis="axisRow" showAll="0">
      <items count="6">
        <item x="4"/>
        <item x="1"/>
        <item x="3"/>
        <item x="0"/>
        <item x="2"/>
        <item t="default"/>
      </items>
    </pivotField>
    <pivotField showAll="0">
      <items count="3">
        <item x="1"/>
        <item x="0"/>
        <item t="default"/>
      </items>
    </pivotField>
    <pivotField showAll="0"/>
    <pivotField showAll="0"/>
    <pivotField dataField="1" showAll="0"/>
    <pivotField showAll="0">
      <items count="3">
        <item x="0"/>
        <item x="1"/>
        <item t="default"/>
      </items>
    </pivotField>
    <pivotField numFmtId="164" showAll="0"/>
  </pivotFields>
  <rowFields count="1">
    <field x="2"/>
  </rowFields>
  <rowItems count="6">
    <i>
      <x/>
    </i>
    <i>
      <x v="1"/>
    </i>
    <i>
      <x v="2"/>
    </i>
    <i>
      <x v="3"/>
    </i>
    <i>
      <x v="4"/>
    </i>
    <i t="grand">
      <x/>
    </i>
  </rowItems>
  <colItems count="1">
    <i/>
  </colItems>
  <dataFields count="1">
    <dataField name="Average of Performance Rating" fld="6" subtotal="average" baseField="2"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5" name="PivotTable2"/>
    <pivotTable tabId="5" name="PivotTable4"/>
    <pivotTable tabId="5" name="PivotTable5"/>
    <pivotTable tabId="5" name="PivotTable7"/>
    <pivotTable tabId="5" name="PivotTable8"/>
  </pivotTables>
  <data>
    <tabular pivotCacheId="1480476504">
      <items count="5">
        <i x="4" s="1"/>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2"/>
    <pivotTable tabId="5" name="PivotTable4"/>
    <pivotTable tabId="5" name="PivotTable5"/>
    <pivotTable tabId="5" name="PivotTable7"/>
    <pivotTable tabId="5" name="PivotTable8"/>
  </pivotTables>
  <data>
    <tabular pivotCacheId="148047650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5" name="PivotTable2"/>
    <pivotTable tabId="5" name="PivotTable4"/>
    <pivotTable tabId="5" name="PivotTable5"/>
    <pivotTable tabId="5" name="PivotTable7"/>
    <pivotTable tabId="5" name="PivotTable8"/>
  </pivotTables>
  <data>
    <tabular pivotCacheId="14804765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yle="SlicerStyleDark1" rowHeight="241300"/>
  <slicer name="Gender 1" cache="Slicer_Gender" caption="Gender" style="SlicerStyleDark1" rowHeight="241300"/>
  <slicer name="Attrition 1" cache="Slicer_Attrition" caption="Attrition" style="SlicerStyleDark1" rowHeight="241300"/>
</slicers>
</file>

<file path=xl/tables/table1.xml><?xml version="1.0" encoding="utf-8"?>
<table xmlns="http://schemas.openxmlformats.org/spreadsheetml/2006/main" id="3" name="Table3" displayName="Table3" ref="A1:I101" totalsRowShown="0" headerRowDxfId="3">
  <autoFilter ref="A1:I101"/>
  <tableColumns count="9">
    <tableColumn id="1" name="Emp ID"/>
    <tableColumn id="2" name="Employee Name"/>
    <tableColumn id="3" name="Department"/>
    <tableColumn id="4" name="Gender"/>
    <tableColumn id="5" name="Age"/>
    <tableColumn id="6" name="Salary"/>
    <tableColumn id="7" name="Performance Rating"/>
    <tableColumn id="8" name="Attrition"/>
    <tableColumn id="9" name="Joining Date" dataDxfId="2"/>
  </tableColumns>
  <tableStyleInfo name="TableStyleMedium6" showFirstColumn="0" showLastColumn="0" showRowStripes="1" showColumnStripes="0"/>
</table>
</file>

<file path=xl/tables/table2.xml><?xml version="1.0" encoding="utf-8"?>
<table xmlns="http://schemas.openxmlformats.org/spreadsheetml/2006/main" id="4" name="Table4" displayName="Table4" ref="A1:B8" totalsRowShown="0" headerRowDxfId="1" tableBorderDxfId="0">
  <autoFilter ref="A1:B8"/>
  <tableColumns count="2">
    <tableColumn id="1" name="Metric"/>
    <tableColumn id="2" name="Value"/>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J18"/>
  <sheetViews>
    <sheetView workbookViewId="0">
      <selection activeCell="O19" sqref="O19"/>
    </sheetView>
  </sheetViews>
  <sheetFormatPr defaultRowHeight="15" x14ac:dyDescent="0.25"/>
  <cols>
    <col min="1" max="1" width="14" bestFit="1" customWidth="1"/>
    <col min="2" max="2" width="29" bestFit="1" customWidth="1"/>
    <col min="3" max="3" width="6.28515625" customWidth="1"/>
    <col min="4" max="4" width="14" bestFit="1" customWidth="1"/>
    <col min="5" max="5" width="16.42578125" bestFit="1" customWidth="1"/>
    <col min="6" max="6" width="12.85546875" bestFit="1" customWidth="1"/>
    <col min="7" max="7" width="15.28515625" bestFit="1" customWidth="1"/>
    <col min="8" max="8" width="10.85546875" bestFit="1" customWidth="1"/>
    <col min="9" max="9" width="4.140625" bestFit="1" customWidth="1"/>
    <col min="10" max="10" width="11.28515625" bestFit="1" customWidth="1"/>
    <col min="11" max="11" width="4.5703125" customWidth="1"/>
  </cols>
  <sheetData>
    <row r="3" spans="1:10" x14ac:dyDescent="0.25">
      <c r="A3" s="3" t="s">
        <v>2</v>
      </c>
      <c r="B3" t="s">
        <v>206</v>
      </c>
      <c r="D3" s="3" t="s">
        <v>2</v>
      </c>
      <c r="E3" t="s">
        <v>206</v>
      </c>
      <c r="G3" s="3" t="s">
        <v>206</v>
      </c>
      <c r="H3" s="3" t="s">
        <v>7</v>
      </c>
    </row>
    <row r="4" spans="1:10" x14ac:dyDescent="0.25">
      <c r="A4" s="4" t="s">
        <v>32</v>
      </c>
      <c r="B4" s="5">
        <v>15</v>
      </c>
      <c r="D4" s="4" t="s">
        <v>21</v>
      </c>
      <c r="E4" s="5">
        <v>52</v>
      </c>
      <c r="G4" s="3" t="s">
        <v>2</v>
      </c>
      <c r="H4" t="s">
        <v>13</v>
      </c>
      <c r="I4" t="s">
        <v>41</v>
      </c>
      <c r="J4" t="s">
        <v>205</v>
      </c>
    </row>
    <row r="5" spans="1:10" x14ac:dyDescent="0.25">
      <c r="A5" s="4" t="s">
        <v>16</v>
      </c>
      <c r="B5" s="5">
        <v>23</v>
      </c>
      <c r="D5" s="4" t="s">
        <v>12</v>
      </c>
      <c r="E5" s="5">
        <v>48</v>
      </c>
      <c r="G5" s="4" t="s">
        <v>32</v>
      </c>
      <c r="H5" s="5">
        <v>15</v>
      </c>
      <c r="I5" s="5"/>
      <c r="J5" s="5">
        <v>15</v>
      </c>
    </row>
    <row r="6" spans="1:10" x14ac:dyDescent="0.25">
      <c r="A6" s="4" t="s">
        <v>27</v>
      </c>
      <c r="B6" s="5">
        <v>21</v>
      </c>
      <c r="D6" s="4" t="s">
        <v>205</v>
      </c>
      <c r="E6" s="5">
        <v>100</v>
      </c>
      <c r="G6" s="4" t="s">
        <v>16</v>
      </c>
      <c r="H6" s="5">
        <v>20</v>
      </c>
      <c r="I6" s="5">
        <v>3</v>
      </c>
      <c r="J6" s="5">
        <v>23</v>
      </c>
    </row>
    <row r="7" spans="1:10" x14ac:dyDescent="0.25">
      <c r="A7" s="4" t="s">
        <v>11</v>
      </c>
      <c r="B7" s="5">
        <v>22</v>
      </c>
      <c r="G7" s="4" t="s">
        <v>27</v>
      </c>
      <c r="H7" s="5">
        <v>18</v>
      </c>
      <c r="I7" s="5">
        <v>3</v>
      </c>
      <c r="J7" s="5">
        <v>21</v>
      </c>
    </row>
    <row r="8" spans="1:10" x14ac:dyDescent="0.25">
      <c r="A8" s="4" t="s">
        <v>24</v>
      </c>
      <c r="B8" s="5">
        <v>19</v>
      </c>
      <c r="G8" s="4" t="s">
        <v>11</v>
      </c>
      <c r="H8" s="5">
        <v>19</v>
      </c>
      <c r="I8" s="5">
        <v>3</v>
      </c>
      <c r="J8" s="5">
        <v>22</v>
      </c>
    </row>
    <row r="9" spans="1:10" x14ac:dyDescent="0.25">
      <c r="A9" s="4" t="s">
        <v>205</v>
      </c>
      <c r="B9" s="5">
        <v>100</v>
      </c>
      <c r="G9" s="4" t="s">
        <v>24</v>
      </c>
      <c r="H9" s="5">
        <v>16</v>
      </c>
      <c r="I9" s="5">
        <v>3</v>
      </c>
      <c r="J9" s="5">
        <v>19</v>
      </c>
    </row>
    <row r="10" spans="1:10" x14ac:dyDescent="0.25">
      <c r="G10" s="4" t="s">
        <v>205</v>
      </c>
      <c r="H10" s="5">
        <v>88</v>
      </c>
      <c r="I10" s="5">
        <v>12</v>
      </c>
      <c r="J10" s="5">
        <v>100</v>
      </c>
    </row>
    <row r="12" spans="1:10" x14ac:dyDescent="0.25">
      <c r="A12" s="3" t="s">
        <v>2</v>
      </c>
      <c r="B12" t="s">
        <v>207</v>
      </c>
      <c r="D12" s="3" t="s">
        <v>2</v>
      </c>
      <c r="E12" t="s">
        <v>208</v>
      </c>
    </row>
    <row r="13" spans="1:10" x14ac:dyDescent="0.25">
      <c r="A13" s="4" t="s">
        <v>32</v>
      </c>
      <c r="B13" s="5">
        <v>3.4</v>
      </c>
      <c r="D13" s="4" t="s">
        <v>32</v>
      </c>
      <c r="E13" s="5">
        <v>56866.2</v>
      </c>
    </row>
    <row r="14" spans="1:10" x14ac:dyDescent="0.25">
      <c r="A14" s="4" t="s">
        <v>16</v>
      </c>
      <c r="B14" s="5">
        <v>3.5652173913043477</v>
      </c>
      <c r="D14" s="4" t="s">
        <v>16</v>
      </c>
      <c r="E14" s="5">
        <v>66974.521739130432</v>
      </c>
    </row>
    <row r="15" spans="1:10" x14ac:dyDescent="0.25">
      <c r="A15" s="4" t="s">
        <v>27</v>
      </c>
      <c r="B15" s="5">
        <v>3.3809523809523809</v>
      </c>
      <c r="D15" s="4" t="s">
        <v>27</v>
      </c>
      <c r="E15" s="5">
        <v>62301.619047619046</v>
      </c>
    </row>
    <row r="16" spans="1:10" x14ac:dyDescent="0.25">
      <c r="A16" s="4" t="s">
        <v>11</v>
      </c>
      <c r="B16" s="5">
        <v>3.6818181818181817</v>
      </c>
      <c r="D16" s="4" t="s">
        <v>11</v>
      </c>
      <c r="E16" s="5">
        <v>61284.772727272728</v>
      </c>
    </row>
    <row r="17" spans="1:5" x14ac:dyDescent="0.25">
      <c r="A17" s="4" t="s">
        <v>24</v>
      </c>
      <c r="B17" s="5">
        <v>4.0526315789473681</v>
      </c>
      <c r="D17" s="4" t="s">
        <v>24</v>
      </c>
      <c r="E17" s="5">
        <v>59696</v>
      </c>
    </row>
    <row r="18" spans="1:5" x14ac:dyDescent="0.25">
      <c r="A18" s="4" t="s">
        <v>205</v>
      </c>
      <c r="B18" s="5">
        <v>3.62</v>
      </c>
      <c r="D18" s="4" t="s">
        <v>205</v>
      </c>
      <c r="E18" s="5">
        <v>61842.3</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01"/>
  <sheetViews>
    <sheetView workbookViewId="0">
      <selection activeCell="L11" sqref="L11"/>
    </sheetView>
  </sheetViews>
  <sheetFormatPr defaultRowHeight="15" x14ac:dyDescent="0.25"/>
  <cols>
    <col min="1" max="1" width="9.28515625" customWidth="1"/>
    <col min="2" max="2" width="17.7109375" customWidth="1"/>
    <col min="3" max="3" width="13.85546875" customWidth="1"/>
    <col min="4" max="4" width="9.85546875" customWidth="1"/>
    <col min="7" max="7" width="20.5703125" customWidth="1"/>
    <col min="8" max="8" width="10.7109375" customWidth="1"/>
    <col min="9" max="9" width="14"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v>31</v>
      </c>
      <c r="F2">
        <v>51072</v>
      </c>
      <c r="G2">
        <v>5</v>
      </c>
      <c r="H2" t="s">
        <v>13</v>
      </c>
      <c r="I2" s="2">
        <v>43665</v>
      </c>
    </row>
    <row r="3" spans="1:9" x14ac:dyDescent="0.25">
      <c r="A3" t="s">
        <v>14</v>
      </c>
      <c r="B3" t="s">
        <v>15</v>
      </c>
      <c r="C3" t="s">
        <v>16</v>
      </c>
      <c r="D3" t="s">
        <v>12</v>
      </c>
      <c r="E3">
        <v>25</v>
      </c>
      <c r="F3">
        <v>77688</v>
      </c>
      <c r="G3">
        <v>4</v>
      </c>
      <c r="H3" t="s">
        <v>13</v>
      </c>
      <c r="I3" s="2">
        <v>45173</v>
      </c>
    </row>
    <row r="4" spans="1:9" x14ac:dyDescent="0.25">
      <c r="A4" t="s">
        <v>17</v>
      </c>
      <c r="B4" t="s">
        <v>18</v>
      </c>
      <c r="C4" t="s">
        <v>11</v>
      </c>
      <c r="D4" t="s">
        <v>12</v>
      </c>
      <c r="E4">
        <v>28</v>
      </c>
      <c r="F4">
        <v>47774</v>
      </c>
      <c r="G4">
        <v>4</v>
      </c>
      <c r="H4" t="s">
        <v>13</v>
      </c>
      <c r="I4" s="2">
        <v>45384</v>
      </c>
    </row>
    <row r="5" spans="1:9" x14ac:dyDescent="0.25">
      <c r="A5" t="s">
        <v>19</v>
      </c>
      <c r="B5" t="s">
        <v>20</v>
      </c>
      <c r="C5" t="s">
        <v>16</v>
      </c>
      <c r="D5" t="s">
        <v>21</v>
      </c>
      <c r="E5">
        <v>29</v>
      </c>
      <c r="F5">
        <v>74449</v>
      </c>
      <c r="G5">
        <v>2</v>
      </c>
      <c r="H5" t="s">
        <v>13</v>
      </c>
      <c r="I5" s="2">
        <v>45035</v>
      </c>
    </row>
    <row r="6" spans="1:9" x14ac:dyDescent="0.25">
      <c r="A6" t="s">
        <v>22</v>
      </c>
      <c r="B6" t="s">
        <v>23</v>
      </c>
      <c r="C6" t="s">
        <v>24</v>
      </c>
      <c r="D6" t="s">
        <v>21</v>
      </c>
      <c r="E6">
        <v>37</v>
      </c>
      <c r="F6">
        <v>52233</v>
      </c>
      <c r="G6">
        <v>5</v>
      </c>
      <c r="H6" t="s">
        <v>13</v>
      </c>
      <c r="I6" s="2">
        <v>45782</v>
      </c>
    </row>
    <row r="7" spans="1:9" x14ac:dyDescent="0.25">
      <c r="A7" t="s">
        <v>25</v>
      </c>
      <c r="B7" t="s">
        <v>26</v>
      </c>
      <c r="C7" t="s">
        <v>27</v>
      </c>
      <c r="D7" t="s">
        <v>21</v>
      </c>
      <c r="E7">
        <v>32</v>
      </c>
      <c r="F7">
        <v>41958</v>
      </c>
      <c r="G7">
        <v>2</v>
      </c>
      <c r="H7" t="s">
        <v>13</v>
      </c>
      <c r="I7" s="2">
        <v>44516</v>
      </c>
    </row>
    <row r="8" spans="1:9" x14ac:dyDescent="0.25">
      <c r="A8" t="s">
        <v>28</v>
      </c>
      <c r="B8" t="s">
        <v>29</v>
      </c>
      <c r="C8" t="s">
        <v>11</v>
      </c>
      <c r="D8" t="s">
        <v>12</v>
      </c>
      <c r="E8">
        <v>40</v>
      </c>
      <c r="F8">
        <v>50270</v>
      </c>
      <c r="G8">
        <v>3</v>
      </c>
      <c r="H8" t="s">
        <v>13</v>
      </c>
      <c r="I8" s="2">
        <v>45233</v>
      </c>
    </row>
    <row r="9" spans="1:9" x14ac:dyDescent="0.25">
      <c r="A9" t="s">
        <v>30</v>
      </c>
      <c r="B9" t="s">
        <v>31</v>
      </c>
      <c r="C9" t="s">
        <v>32</v>
      </c>
      <c r="D9" t="s">
        <v>12</v>
      </c>
      <c r="E9">
        <v>32</v>
      </c>
      <c r="F9">
        <v>54612</v>
      </c>
      <c r="G9">
        <v>3</v>
      </c>
      <c r="H9" t="s">
        <v>13</v>
      </c>
      <c r="I9" s="2">
        <v>44005</v>
      </c>
    </row>
    <row r="10" spans="1:9" x14ac:dyDescent="0.25">
      <c r="A10" t="s">
        <v>33</v>
      </c>
      <c r="B10" t="s">
        <v>34</v>
      </c>
      <c r="C10" t="s">
        <v>16</v>
      </c>
      <c r="D10" t="s">
        <v>12</v>
      </c>
      <c r="E10">
        <v>24</v>
      </c>
      <c r="F10">
        <v>45213</v>
      </c>
      <c r="G10">
        <v>5</v>
      </c>
      <c r="H10" t="s">
        <v>13</v>
      </c>
      <c r="I10" s="2">
        <v>45359</v>
      </c>
    </row>
    <row r="11" spans="1:9" x14ac:dyDescent="0.25">
      <c r="A11" t="s">
        <v>35</v>
      </c>
      <c r="B11" t="s">
        <v>36</v>
      </c>
      <c r="C11" t="s">
        <v>27</v>
      </c>
      <c r="D11" t="s">
        <v>12</v>
      </c>
      <c r="E11">
        <v>31</v>
      </c>
      <c r="F11">
        <v>34926</v>
      </c>
      <c r="G11">
        <v>5</v>
      </c>
      <c r="H11" t="s">
        <v>13</v>
      </c>
      <c r="I11" s="2">
        <v>44694</v>
      </c>
    </row>
    <row r="12" spans="1:9" x14ac:dyDescent="0.25">
      <c r="A12" t="s">
        <v>37</v>
      </c>
      <c r="B12" t="s">
        <v>38</v>
      </c>
      <c r="C12" t="s">
        <v>27</v>
      </c>
      <c r="D12" t="s">
        <v>21</v>
      </c>
      <c r="E12">
        <v>41</v>
      </c>
      <c r="F12">
        <v>55494</v>
      </c>
      <c r="G12">
        <v>5</v>
      </c>
      <c r="H12" t="s">
        <v>13</v>
      </c>
      <c r="I12" s="2">
        <v>45046</v>
      </c>
    </row>
    <row r="13" spans="1:9" x14ac:dyDescent="0.25">
      <c r="A13" t="s">
        <v>39</v>
      </c>
      <c r="B13" t="s">
        <v>40</v>
      </c>
      <c r="C13" t="s">
        <v>16</v>
      </c>
      <c r="D13" t="s">
        <v>12</v>
      </c>
      <c r="E13">
        <v>31</v>
      </c>
      <c r="F13">
        <v>77321</v>
      </c>
      <c r="G13">
        <v>3</v>
      </c>
      <c r="H13" t="s">
        <v>41</v>
      </c>
      <c r="I13" s="2">
        <v>44677</v>
      </c>
    </row>
    <row r="14" spans="1:9" x14ac:dyDescent="0.25">
      <c r="A14" t="s">
        <v>42</v>
      </c>
      <c r="B14" t="s">
        <v>31</v>
      </c>
      <c r="C14" t="s">
        <v>24</v>
      </c>
      <c r="D14" t="s">
        <v>12</v>
      </c>
      <c r="E14">
        <v>30</v>
      </c>
      <c r="F14">
        <v>69892</v>
      </c>
      <c r="G14">
        <v>4</v>
      </c>
      <c r="H14" t="s">
        <v>41</v>
      </c>
      <c r="I14" s="2">
        <v>45487</v>
      </c>
    </row>
    <row r="15" spans="1:9" x14ac:dyDescent="0.25">
      <c r="A15" t="s">
        <v>43</v>
      </c>
      <c r="B15" t="s">
        <v>44</v>
      </c>
      <c r="C15" t="s">
        <v>24</v>
      </c>
      <c r="D15" t="s">
        <v>21</v>
      </c>
      <c r="E15">
        <v>43</v>
      </c>
      <c r="F15">
        <v>39773</v>
      </c>
      <c r="G15">
        <v>5</v>
      </c>
      <c r="H15" t="s">
        <v>13</v>
      </c>
      <c r="I15" s="2">
        <v>44704</v>
      </c>
    </row>
    <row r="16" spans="1:9" x14ac:dyDescent="0.25">
      <c r="A16" t="s">
        <v>45</v>
      </c>
      <c r="B16" t="s">
        <v>46</v>
      </c>
      <c r="C16" t="s">
        <v>24</v>
      </c>
      <c r="D16" t="s">
        <v>21</v>
      </c>
      <c r="E16">
        <v>36</v>
      </c>
      <c r="F16">
        <v>38255</v>
      </c>
      <c r="G16">
        <v>2</v>
      </c>
      <c r="H16" t="s">
        <v>13</v>
      </c>
      <c r="I16" s="2">
        <v>44093</v>
      </c>
    </row>
    <row r="17" spans="1:9" x14ac:dyDescent="0.25">
      <c r="A17" t="s">
        <v>47</v>
      </c>
      <c r="B17" t="s">
        <v>48</v>
      </c>
      <c r="C17" t="s">
        <v>32</v>
      </c>
      <c r="D17" t="s">
        <v>12</v>
      </c>
      <c r="E17">
        <v>34</v>
      </c>
      <c r="F17">
        <v>81842</v>
      </c>
      <c r="G17">
        <v>4</v>
      </c>
      <c r="H17" t="s">
        <v>13</v>
      </c>
      <c r="I17" s="2">
        <v>45061</v>
      </c>
    </row>
    <row r="18" spans="1:9" x14ac:dyDescent="0.25">
      <c r="A18" t="s">
        <v>49</v>
      </c>
      <c r="B18" t="s">
        <v>50</v>
      </c>
      <c r="C18" t="s">
        <v>11</v>
      </c>
      <c r="D18" t="s">
        <v>12</v>
      </c>
      <c r="E18">
        <v>45</v>
      </c>
      <c r="F18">
        <v>60143</v>
      </c>
      <c r="G18">
        <v>3</v>
      </c>
      <c r="H18" t="s">
        <v>13</v>
      </c>
      <c r="I18" s="2">
        <v>44143</v>
      </c>
    </row>
    <row r="19" spans="1:9" x14ac:dyDescent="0.25">
      <c r="A19" t="s">
        <v>51</v>
      </c>
      <c r="B19" t="s">
        <v>52</v>
      </c>
      <c r="C19" t="s">
        <v>16</v>
      </c>
      <c r="D19" t="s">
        <v>21</v>
      </c>
      <c r="E19">
        <v>22</v>
      </c>
      <c r="F19">
        <v>67441</v>
      </c>
      <c r="G19">
        <v>5</v>
      </c>
      <c r="H19" t="s">
        <v>13</v>
      </c>
      <c r="I19" s="2">
        <v>43586</v>
      </c>
    </row>
    <row r="20" spans="1:9" x14ac:dyDescent="0.25">
      <c r="A20" t="s">
        <v>53</v>
      </c>
      <c r="B20" t="s">
        <v>54</v>
      </c>
      <c r="C20" t="s">
        <v>11</v>
      </c>
      <c r="D20" t="s">
        <v>21</v>
      </c>
      <c r="E20">
        <v>33</v>
      </c>
      <c r="F20">
        <v>84373</v>
      </c>
      <c r="G20">
        <v>2</v>
      </c>
      <c r="H20" t="s">
        <v>13</v>
      </c>
      <c r="I20" s="2">
        <v>44960</v>
      </c>
    </row>
    <row r="21" spans="1:9" x14ac:dyDescent="0.25">
      <c r="A21" t="s">
        <v>55</v>
      </c>
      <c r="B21" t="s">
        <v>56</v>
      </c>
      <c r="C21" t="s">
        <v>11</v>
      </c>
      <c r="D21" t="s">
        <v>21</v>
      </c>
      <c r="E21">
        <v>42</v>
      </c>
      <c r="F21">
        <v>79318</v>
      </c>
      <c r="G21">
        <v>4</v>
      </c>
      <c r="H21" t="s">
        <v>13</v>
      </c>
      <c r="I21" s="2">
        <v>44228</v>
      </c>
    </row>
    <row r="22" spans="1:9" x14ac:dyDescent="0.25">
      <c r="A22" t="s">
        <v>57</v>
      </c>
      <c r="B22" t="s">
        <v>58</v>
      </c>
      <c r="C22" t="s">
        <v>27</v>
      </c>
      <c r="D22" t="s">
        <v>21</v>
      </c>
      <c r="E22">
        <v>36</v>
      </c>
      <c r="F22">
        <v>73438</v>
      </c>
      <c r="G22">
        <v>5</v>
      </c>
      <c r="H22" t="s">
        <v>13</v>
      </c>
      <c r="I22" s="2">
        <v>45430</v>
      </c>
    </row>
    <row r="23" spans="1:9" x14ac:dyDescent="0.25">
      <c r="A23" t="s">
        <v>59</v>
      </c>
      <c r="B23" t="s">
        <v>60</v>
      </c>
      <c r="C23" t="s">
        <v>11</v>
      </c>
      <c r="D23" t="s">
        <v>21</v>
      </c>
      <c r="E23">
        <v>22</v>
      </c>
      <c r="F23">
        <v>63670</v>
      </c>
      <c r="G23">
        <v>4</v>
      </c>
      <c r="H23" t="s">
        <v>13</v>
      </c>
      <c r="I23" s="2">
        <v>43923</v>
      </c>
    </row>
    <row r="24" spans="1:9" x14ac:dyDescent="0.25">
      <c r="A24" t="s">
        <v>61</v>
      </c>
      <c r="B24" t="s">
        <v>62</v>
      </c>
      <c r="C24" t="s">
        <v>11</v>
      </c>
      <c r="D24" t="s">
        <v>12</v>
      </c>
      <c r="E24">
        <v>28</v>
      </c>
      <c r="F24">
        <v>38824</v>
      </c>
      <c r="G24">
        <v>5</v>
      </c>
      <c r="H24" t="s">
        <v>13</v>
      </c>
      <c r="I24" s="2">
        <v>44668</v>
      </c>
    </row>
    <row r="25" spans="1:9" x14ac:dyDescent="0.25">
      <c r="A25" t="s">
        <v>63</v>
      </c>
      <c r="B25" t="s">
        <v>64</v>
      </c>
      <c r="C25" t="s">
        <v>16</v>
      </c>
      <c r="D25" t="s">
        <v>12</v>
      </c>
      <c r="E25">
        <v>45</v>
      </c>
      <c r="F25">
        <v>59450</v>
      </c>
      <c r="G25">
        <v>4</v>
      </c>
      <c r="H25" t="s">
        <v>13</v>
      </c>
      <c r="I25" s="2">
        <v>44795</v>
      </c>
    </row>
    <row r="26" spans="1:9" x14ac:dyDescent="0.25">
      <c r="A26" t="s">
        <v>65</v>
      </c>
      <c r="B26" t="s">
        <v>66</v>
      </c>
      <c r="C26" t="s">
        <v>24</v>
      </c>
      <c r="D26" t="s">
        <v>21</v>
      </c>
      <c r="E26">
        <v>23</v>
      </c>
      <c r="F26">
        <v>87033</v>
      </c>
      <c r="G26">
        <v>5</v>
      </c>
      <c r="H26" t="s">
        <v>13</v>
      </c>
      <c r="I26" s="2">
        <v>44049</v>
      </c>
    </row>
    <row r="27" spans="1:9" x14ac:dyDescent="0.25">
      <c r="A27" t="s">
        <v>67</v>
      </c>
      <c r="B27" t="s">
        <v>68</v>
      </c>
      <c r="C27" t="s">
        <v>27</v>
      </c>
      <c r="D27" t="s">
        <v>21</v>
      </c>
      <c r="E27">
        <v>22</v>
      </c>
      <c r="F27">
        <v>52883</v>
      </c>
      <c r="G27">
        <v>3</v>
      </c>
      <c r="H27" t="s">
        <v>13</v>
      </c>
      <c r="I27" s="2">
        <v>43681</v>
      </c>
    </row>
    <row r="28" spans="1:9" x14ac:dyDescent="0.25">
      <c r="A28" t="s">
        <v>69</v>
      </c>
      <c r="B28" t="s">
        <v>70</v>
      </c>
      <c r="C28" t="s">
        <v>27</v>
      </c>
      <c r="D28" t="s">
        <v>12</v>
      </c>
      <c r="E28">
        <v>24</v>
      </c>
      <c r="F28">
        <v>85348</v>
      </c>
      <c r="G28">
        <v>2</v>
      </c>
      <c r="H28" t="s">
        <v>13</v>
      </c>
      <c r="I28" s="2">
        <v>44550</v>
      </c>
    </row>
    <row r="29" spans="1:9" x14ac:dyDescent="0.25">
      <c r="A29" t="s">
        <v>71</v>
      </c>
      <c r="B29" t="s">
        <v>72</v>
      </c>
      <c r="C29" t="s">
        <v>11</v>
      </c>
      <c r="D29" t="s">
        <v>12</v>
      </c>
      <c r="E29">
        <v>22</v>
      </c>
      <c r="F29">
        <v>32842</v>
      </c>
      <c r="G29">
        <v>3</v>
      </c>
      <c r="H29" t="s">
        <v>13</v>
      </c>
      <c r="I29" s="2">
        <v>44470</v>
      </c>
    </row>
    <row r="30" spans="1:9" x14ac:dyDescent="0.25">
      <c r="A30" t="s">
        <v>73</v>
      </c>
      <c r="B30" t="s">
        <v>74</v>
      </c>
      <c r="C30" t="s">
        <v>32</v>
      </c>
      <c r="D30" t="s">
        <v>12</v>
      </c>
      <c r="E30">
        <v>41</v>
      </c>
      <c r="F30">
        <v>61290</v>
      </c>
      <c r="G30">
        <v>2</v>
      </c>
      <c r="H30" t="s">
        <v>13</v>
      </c>
      <c r="I30" s="2">
        <v>45335</v>
      </c>
    </row>
    <row r="31" spans="1:9" x14ac:dyDescent="0.25">
      <c r="A31" t="s">
        <v>75</v>
      </c>
      <c r="B31" t="s">
        <v>76</v>
      </c>
      <c r="C31" t="s">
        <v>32</v>
      </c>
      <c r="D31" t="s">
        <v>12</v>
      </c>
      <c r="E31">
        <v>30</v>
      </c>
      <c r="F31">
        <v>42758</v>
      </c>
      <c r="G31">
        <v>2</v>
      </c>
      <c r="H31" t="s">
        <v>13</v>
      </c>
      <c r="I31" s="2">
        <v>44020</v>
      </c>
    </row>
    <row r="32" spans="1:9" x14ac:dyDescent="0.25">
      <c r="A32" t="s">
        <v>77</v>
      </c>
      <c r="B32" t="s">
        <v>78</v>
      </c>
      <c r="C32" t="s">
        <v>24</v>
      </c>
      <c r="D32" t="s">
        <v>21</v>
      </c>
      <c r="E32">
        <v>26</v>
      </c>
      <c r="F32">
        <v>31054</v>
      </c>
      <c r="G32">
        <v>3</v>
      </c>
      <c r="H32" t="s">
        <v>13</v>
      </c>
      <c r="I32" s="2">
        <v>45416</v>
      </c>
    </row>
    <row r="33" spans="1:9" x14ac:dyDescent="0.25">
      <c r="A33" t="s">
        <v>79</v>
      </c>
      <c r="B33" t="s">
        <v>80</v>
      </c>
      <c r="C33" t="s">
        <v>11</v>
      </c>
      <c r="D33" t="s">
        <v>12</v>
      </c>
      <c r="E33">
        <v>24</v>
      </c>
      <c r="F33">
        <v>89842</v>
      </c>
      <c r="G33">
        <v>5</v>
      </c>
      <c r="H33" t="s">
        <v>13</v>
      </c>
      <c r="I33" s="2">
        <v>44423</v>
      </c>
    </row>
    <row r="34" spans="1:9" x14ac:dyDescent="0.25">
      <c r="A34" t="s">
        <v>81</v>
      </c>
      <c r="B34" t="s">
        <v>82</v>
      </c>
      <c r="C34" t="s">
        <v>24</v>
      </c>
      <c r="D34" t="s">
        <v>12</v>
      </c>
      <c r="E34">
        <v>45</v>
      </c>
      <c r="F34">
        <v>39929</v>
      </c>
      <c r="G34">
        <v>5</v>
      </c>
      <c r="H34" t="s">
        <v>13</v>
      </c>
      <c r="I34" s="2">
        <v>45453</v>
      </c>
    </row>
    <row r="35" spans="1:9" x14ac:dyDescent="0.25">
      <c r="A35" t="s">
        <v>83</v>
      </c>
      <c r="B35" t="s">
        <v>84</v>
      </c>
      <c r="C35" t="s">
        <v>16</v>
      </c>
      <c r="D35" t="s">
        <v>21</v>
      </c>
      <c r="E35">
        <v>32</v>
      </c>
      <c r="F35">
        <v>82281</v>
      </c>
      <c r="G35">
        <v>3</v>
      </c>
      <c r="H35" t="s">
        <v>13</v>
      </c>
      <c r="I35" s="2">
        <v>44449</v>
      </c>
    </row>
    <row r="36" spans="1:9" x14ac:dyDescent="0.25">
      <c r="A36" t="s">
        <v>85</v>
      </c>
      <c r="B36" t="s">
        <v>86</v>
      </c>
      <c r="C36" t="s">
        <v>11</v>
      </c>
      <c r="D36" t="s">
        <v>21</v>
      </c>
      <c r="E36">
        <v>23</v>
      </c>
      <c r="F36">
        <v>62499</v>
      </c>
      <c r="G36">
        <v>5</v>
      </c>
      <c r="H36" t="s">
        <v>41</v>
      </c>
      <c r="I36" s="2">
        <v>43598</v>
      </c>
    </row>
    <row r="37" spans="1:9" x14ac:dyDescent="0.25">
      <c r="A37" t="s">
        <v>87</v>
      </c>
      <c r="B37" t="s">
        <v>34</v>
      </c>
      <c r="C37" t="s">
        <v>27</v>
      </c>
      <c r="D37" t="s">
        <v>12</v>
      </c>
      <c r="E37">
        <v>35</v>
      </c>
      <c r="F37">
        <v>66432</v>
      </c>
      <c r="G37">
        <v>2</v>
      </c>
      <c r="H37" t="s">
        <v>13</v>
      </c>
      <c r="I37" s="2">
        <v>45839</v>
      </c>
    </row>
    <row r="38" spans="1:9" x14ac:dyDescent="0.25">
      <c r="A38" t="s">
        <v>88</v>
      </c>
      <c r="B38" t="s">
        <v>89</v>
      </c>
      <c r="C38" t="s">
        <v>11</v>
      </c>
      <c r="D38" t="s">
        <v>21</v>
      </c>
      <c r="E38">
        <v>33</v>
      </c>
      <c r="F38">
        <v>35115</v>
      </c>
      <c r="G38">
        <v>2</v>
      </c>
      <c r="H38" t="s">
        <v>13</v>
      </c>
      <c r="I38" s="2">
        <v>44406</v>
      </c>
    </row>
    <row r="39" spans="1:9" x14ac:dyDescent="0.25">
      <c r="A39" t="s">
        <v>90</v>
      </c>
      <c r="B39" t="s">
        <v>91</v>
      </c>
      <c r="C39" t="s">
        <v>32</v>
      </c>
      <c r="D39" t="s">
        <v>12</v>
      </c>
      <c r="E39">
        <v>43</v>
      </c>
      <c r="F39">
        <v>55417</v>
      </c>
      <c r="G39">
        <v>3</v>
      </c>
      <c r="H39" t="s">
        <v>13</v>
      </c>
      <c r="I39" s="2">
        <v>43608</v>
      </c>
    </row>
    <row r="40" spans="1:9" x14ac:dyDescent="0.25">
      <c r="A40" t="s">
        <v>92</v>
      </c>
      <c r="B40" t="s">
        <v>84</v>
      </c>
      <c r="C40" t="s">
        <v>24</v>
      </c>
      <c r="D40" t="s">
        <v>21</v>
      </c>
      <c r="E40">
        <v>30</v>
      </c>
      <c r="F40">
        <v>86981</v>
      </c>
      <c r="G40">
        <v>3</v>
      </c>
      <c r="H40" t="s">
        <v>13</v>
      </c>
      <c r="I40" s="2">
        <v>44840</v>
      </c>
    </row>
    <row r="41" spans="1:9" x14ac:dyDescent="0.25">
      <c r="A41" t="s">
        <v>93</v>
      </c>
      <c r="B41" t="s">
        <v>94</v>
      </c>
      <c r="C41" t="s">
        <v>24</v>
      </c>
      <c r="D41" t="s">
        <v>12</v>
      </c>
      <c r="E41">
        <v>36</v>
      </c>
      <c r="F41">
        <v>73483</v>
      </c>
      <c r="G41">
        <v>3</v>
      </c>
      <c r="H41" t="s">
        <v>41</v>
      </c>
      <c r="I41" s="2">
        <v>44531</v>
      </c>
    </row>
    <row r="42" spans="1:9" x14ac:dyDescent="0.25">
      <c r="A42" t="s">
        <v>95</v>
      </c>
      <c r="B42" t="s">
        <v>96</v>
      </c>
      <c r="C42" t="s">
        <v>16</v>
      </c>
      <c r="D42" t="s">
        <v>12</v>
      </c>
      <c r="E42">
        <v>33</v>
      </c>
      <c r="F42">
        <v>85020</v>
      </c>
      <c r="G42">
        <v>2</v>
      </c>
      <c r="H42" t="s">
        <v>13</v>
      </c>
      <c r="I42" s="2">
        <v>45679</v>
      </c>
    </row>
    <row r="43" spans="1:9" x14ac:dyDescent="0.25">
      <c r="A43" t="s">
        <v>97</v>
      </c>
      <c r="B43" t="s">
        <v>44</v>
      </c>
      <c r="C43" t="s">
        <v>32</v>
      </c>
      <c r="D43" t="s">
        <v>21</v>
      </c>
      <c r="E43">
        <v>38</v>
      </c>
      <c r="F43">
        <v>61192</v>
      </c>
      <c r="G43">
        <v>2</v>
      </c>
      <c r="H43" t="s">
        <v>13</v>
      </c>
      <c r="I43" s="2">
        <v>44491</v>
      </c>
    </row>
    <row r="44" spans="1:9" x14ac:dyDescent="0.25">
      <c r="A44" t="s">
        <v>98</v>
      </c>
      <c r="B44" t="s">
        <v>99</v>
      </c>
      <c r="C44" t="s">
        <v>32</v>
      </c>
      <c r="D44" t="s">
        <v>21</v>
      </c>
      <c r="E44">
        <v>22</v>
      </c>
      <c r="F44">
        <v>34593</v>
      </c>
      <c r="G44">
        <v>4</v>
      </c>
      <c r="H44" t="s">
        <v>13</v>
      </c>
      <c r="I44" s="2">
        <v>45379</v>
      </c>
    </row>
    <row r="45" spans="1:9" x14ac:dyDescent="0.25">
      <c r="A45" t="s">
        <v>100</v>
      </c>
      <c r="B45" t="s">
        <v>101</v>
      </c>
      <c r="C45" t="s">
        <v>32</v>
      </c>
      <c r="D45" t="s">
        <v>12</v>
      </c>
      <c r="E45">
        <v>28</v>
      </c>
      <c r="F45">
        <v>55246</v>
      </c>
      <c r="G45">
        <v>5</v>
      </c>
      <c r="H45" t="s">
        <v>13</v>
      </c>
      <c r="I45" s="2">
        <v>44817</v>
      </c>
    </row>
    <row r="46" spans="1:9" x14ac:dyDescent="0.25">
      <c r="A46" t="s">
        <v>102</v>
      </c>
      <c r="B46" t="s">
        <v>103</v>
      </c>
      <c r="C46" t="s">
        <v>32</v>
      </c>
      <c r="D46" t="s">
        <v>21</v>
      </c>
      <c r="E46">
        <v>32</v>
      </c>
      <c r="F46">
        <v>39700</v>
      </c>
      <c r="G46">
        <v>3</v>
      </c>
      <c r="H46" t="s">
        <v>13</v>
      </c>
      <c r="I46" s="2">
        <v>43803</v>
      </c>
    </row>
    <row r="47" spans="1:9" x14ac:dyDescent="0.25">
      <c r="A47" t="s">
        <v>104</v>
      </c>
      <c r="B47" t="s">
        <v>105</v>
      </c>
      <c r="C47" t="s">
        <v>32</v>
      </c>
      <c r="D47" t="s">
        <v>21</v>
      </c>
      <c r="E47">
        <v>27</v>
      </c>
      <c r="F47">
        <v>38474</v>
      </c>
      <c r="G47">
        <v>5</v>
      </c>
      <c r="H47" t="s">
        <v>13</v>
      </c>
      <c r="I47" s="2">
        <v>44503</v>
      </c>
    </row>
    <row r="48" spans="1:9" x14ac:dyDescent="0.25">
      <c r="A48" t="s">
        <v>106</v>
      </c>
      <c r="B48" t="s">
        <v>107</v>
      </c>
      <c r="C48" t="s">
        <v>11</v>
      </c>
      <c r="D48" t="s">
        <v>21</v>
      </c>
      <c r="E48">
        <v>43</v>
      </c>
      <c r="F48">
        <v>68588</v>
      </c>
      <c r="G48">
        <v>5</v>
      </c>
      <c r="H48" t="s">
        <v>41</v>
      </c>
      <c r="I48" s="2">
        <v>43653</v>
      </c>
    </row>
    <row r="49" spans="1:9" x14ac:dyDescent="0.25">
      <c r="A49" t="s">
        <v>108</v>
      </c>
      <c r="B49" t="s">
        <v>15</v>
      </c>
      <c r="C49" t="s">
        <v>27</v>
      </c>
      <c r="D49" t="s">
        <v>12</v>
      </c>
      <c r="E49">
        <v>31</v>
      </c>
      <c r="F49">
        <v>68119</v>
      </c>
      <c r="G49">
        <v>4</v>
      </c>
      <c r="H49" t="s">
        <v>13</v>
      </c>
      <c r="I49" s="2">
        <v>45888</v>
      </c>
    </row>
    <row r="50" spans="1:9" x14ac:dyDescent="0.25">
      <c r="A50" t="s">
        <v>109</v>
      </c>
      <c r="B50" t="s">
        <v>110</v>
      </c>
      <c r="C50" t="s">
        <v>16</v>
      </c>
      <c r="D50" t="s">
        <v>21</v>
      </c>
      <c r="E50">
        <v>25</v>
      </c>
      <c r="F50">
        <v>88238</v>
      </c>
      <c r="G50">
        <v>3</v>
      </c>
      <c r="H50" t="s">
        <v>13</v>
      </c>
      <c r="I50" s="2">
        <v>45459</v>
      </c>
    </row>
    <row r="51" spans="1:9" x14ac:dyDescent="0.25">
      <c r="A51" t="s">
        <v>111</v>
      </c>
      <c r="B51" t="s">
        <v>112</v>
      </c>
      <c r="C51" t="s">
        <v>16</v>
      </c>
      <c r="D51" t="s">
        <v>21</v>
      </c>
      <c r="E51">
        <v>31</v>
      </c>
      <c r="F51">
        <v>79890</v>
      </c>
      <c r="G51">
        <v>4</v>
      </c>
      <c r="H51" t="s">
        <v>13</v>
      </c>
      <c r="I51" s="2">
        <v>43549</v>
      </c>
    </row>
    <row r="52" spans="1:9" x14ac:dyDescent="0.25">
      <c r="A52" t="s">
        <v>113</v>
      </c>
      <c r="B52" t="s">
        <v>89</v>
      </c>
      <c r="C52" t="s">
        <v>27</v>
      </c>
      <c r="D52" t="s">
        <v>21</v>
      </c>
      <c r="E52">
        <v>33</v>
      </c>
      <c r="F52">
        <v>71813</v>
      </c>
      <c r="G52">
        <v>4</v>
      </c>
      <c r="H52" t="s">
        <v>13</v>
      </c>
      <c r="I52" s="2">
        <v>44519</v>
      </c>
    </row>
    <row r="53" spans="1:9" x14ac:dyDescent="0.25">
      <c r="A53" t="s">
        <v>114</v>
      </c>
      <c r="B53" t="s">
        <v>115</v>
      </c>
      <c r="C53" t="s">
        <v>27</v>
      </c>
      <c r="D53" t="s">
        <v>12</v>
      </c>
      <c r="E53">
        <v>30</v>
      </c>
      <c r="F53">
        <v>73564</v>
      </c>
      <c r="G53">
        <v>4</v>
      </c>
      <c r="H53" t="s">
        <v>13</v>
      </c>
      <c r="I53" s="2">
        <v>44373</v>
      </c>
    </row>
    <row r="54" spans="1:9" x14ac:dyDescent="0.25">
      <c r="A54" t="s">
        <v>116</v>
      </c>
      <c r="B54" t="s">
        <v>117</v>
      </c>
      <c r="C54" t="s">
        <v>16</v>
      </c>
      <c r="D54" t="s">
        <v>12</v>
      </c>
      <c r="E54">
        <v>39</v>
      </c>
      <c r="F54">
        <v>53194</v>
      </c>
      <c r="G54">
        <v>2</v>
      </c>
      <c r="H54" t="s">
        <v>13</v>
      </c>
      <c r="I54" s="2">
        <v>44555</v>
      </c>
    </row>
    <row r="55" spans="1:9" x14ac:dyDescent="0.25">
      <c r="A55" t="s">
        <v>118</v>
      </c>
      <c r="B55" t="s">
        <v>119</v>
      </c>
      <c r="C55" t="s">
        <v>16</v>
      </c>
      <c r="D55" t="s">
        <v>21</v>
      </c>
      <c r="E55">
        <v>40</v>
      </c>
      <c r="F55">
        <v>51613</v>
      </c>
      <c r="G55">
        <v>5</v>
      </c>
      <c r="H55" t="s">
        <v>13</v>
      </c>
      <c r="I55" s="2">
        <v>44063</v>
      </c>
    </row>
    <row r="56" spans="1:9" x14ac:dyDescent="0.25">
      <c r="A56" t="s">
        <v>120</v>
      </c>
      <c r="B56" t="s">
        <v>121</v>
      </c>
      <c r="C56" t="s">
        <v>24</v>
      </c>
      <c r="D56" t="s">
        <v>12</v>
      </c>
      <c r="E56">
        <v>30</v>
      </c>
      <c r="F56">
        <v>37966</v>
      </c>
      <c r="G56">
        <v>5</v>
      </c>
      <c r="H56" t="s">
        <v>13</v>
      </c>
      <c r="I56" s="2">
        <v>45596</v>
      </c>
    </row>
    <row r="57" spans="1:9" x14ac:dyDescent="0.25">
      <c r="A57" t="s">
        <v>122</v>
      </c>
      <c r="B57" t="s">
        <v>96</v>
      </c>
      <c r="C57" t="s">
        <v>27</v>
      </c>
      <c r="D57" t="s">
        <v>12</v>
      </c>
      <c r="E57">
        <v>35</v>
      </c>
      <c r="F57">
        <v>80270</v>
      </c>
      <c r="G57">
        <v>2</v>
      </c>
      <c r="H57" t="s">
        <v>41</v>
      </c>
      <c r="I57" s="2">
        <v>44026</v>
      </c>
    </row>
    <row r="58" spans="1:9" x14ac:dyDescent="0.25">
      <c r="A58" t="s">
        <v>123</v>
      </c>
      <c r="B58" t="s">
        <v>124</v>
      </c>
      <c r="C58" t="s">
        <v>27</v>
      </c>
      <c r="D58" t="s">
        <v>12</v>
      </c>
      <c r="E58">
        <v>29</v>
      </c>
      <c r="F58">
        <v>57017</v>
      </c>
      <c r="G58">
        <v>5</v>
      </c>
      <c r="H58" t="s">
        <v>13</v>
      </c>
      <c r="I58" s="2">
        <v>43941</v>
      </c>
    </row>
    <row r="59" spans="1:9" x14ac:dyDescent="0.25">
      <c r="A59" t="s">
        <v>125</v>
      </c>
      <c r="B59" t="s">
        <v>126</v>
      </c>
      <c r="C59" t="s">
        <v>32</v>
      </c>
      <c r="D59" t="s">
        <v>21</v>
      </c>
      <c r="E59">
        <v>41</v>
      </c>
      <c r="F59">
        <v>89673</v>
      </c>
      <c r="G59">
        <v>2</v>
      </c>
      <c r="H59" t="s">
        <v>13</v>
      </c>
      <c r="I59" s="2">
        <v>44268</v>
      </c>
    </row>
    <row r="60" spans="1:9" x14ac:dyDescent="0.25">
      <c r="A60" t="s">
        <v>127</v>
      </c>
      <c r="B60" t="s">
        <v>128</v>
      </c>
      <c r="C60" t="s">
        <v>16</v>
      </c>
      <c r="D60" t="s">
        <v>21</v>
      </c>
      <c r="E60">
        <v>38</v>
      </c>
      <c r="F60">
        <v>36267</v>
      </c>
      <c r="G60">
        <v>5</v>
      </c>
      <c r="H60" t="s">
        <v>13</v>
      </c>
      <c r="I60" s="2">
        <v>44939</v>
      </c>
    </row>
    <row r="61" spans="1:9" x14ac:dyDescent="0.25">
      <c r="A61" t="s">
        <v>129</v>
      </c>
      <c r="B61" t="s">
        <v>130</v>
      </c>
      <c r="C61" t="s">
        <v>16</v>
      </c>
      <c r="D61" t="s">
        <v>12</v>
      </c>
      <c r="E61">
        <v>23</v>
      </c>
      <c r="F61">
        <v>48435</v>
      </c>
      <c r="G61">
        <v>4</v>
      </c>
      <c r="H61" t="s">
        <v>13</v>
      </c>
      <c r="I61" s="2">
        <v>43496</v>
      </c>
    </row>
    <row r="62" spans="1:9" x14ac:dyDescent="0.25">
      <c r="A62" t="s">
        <v>131</v>
      </c>
      <c r="B62" t="s">
        <v>132</v>
      </c>
      <c r="C62" t="s">
        <v>27</v>
      </c>
      <c r="D62" t="s">
        <v>12</v>
      </c>
      <c r="E62">
        <v>35</v>
      </c>
      <c r="F62">
        <v>36273</v>
      </c>
      <c r="G62">
        <v>4</v>
      </c>
      <c r="H62" t="s">
        <v>41</v>
      </c>
      <c r="I62" s="2">
        <v>45369</v>
      </c>
    </row>
    <row r="63" spans="1:9" x14ac:dyDescent="0.25">
      <c r="A63" t="s">
        <v>133</v>
      </c>
      <c r="B63" t="s">
        <v>134</v>
      </c>
      <c r="C63" t="s">
        <v>11</v>
      </c>
      <c r="D63" t="s">
        <v>21</v>
      </c>
      <c r="E63">
        <v>26</v>
      </c>
      <c r="F63">
        <v>63622</v>
      </c>
      <c r="G63">
        <v>2</v>
      </c>
      <c r="H63" t="s">
        <v>13</v>
      </c>
      <c r="I63" s="2">
        <v>44733</v>
      </c>
    </row>
    <row r="64" spans="1:9" x14ac:dyDescent="0.25">
      <c r="A64" t="s">
        <v>135</v>
      </c>
      <c r="B64" t="s">
        <v>40</v>
      </c>
      <c r="C64" t="s">
        <v>11</v>
      </c>
      <c r="D64" t="s">
        <v>12</v>
      </c>
      <c r="E64">
        <v>27</v>
      </c>
      <c r="F64">
        <v>65681</v>
      </c>
      <c r="G64">
        <v>3</v>
      </c>
      <c r="H64" t="s">
        <v>13</v>
      </c>
      <c r="I64" s="2">
        <v>45034</v>
      </c>
    </row>
    <row r="65" spans="1:9" x14ac:dyDescent="0.25">
      <c r="A65" t="s">
        <v>136</v>
      </c>
      <c r="B65" t="s">
        <v>18</v>
      </c>
      <c r="C65" t="s">
        <v>27</v>
      </c>
      <c r="D65" t="s">
        <v>12</v>
      </c>
      <c r="E65">
        <v>42</v>
      </c>
      <c r="F65">
        <v>67545</v>
      </c>
      <c r="G65">
        <v>3</v>
      </c>
      <c r="H65" t="s">
        <v>13</v>
      </c>
      <c r="I65" s="2">
        <v>45770</v>
      </c>
    </row>
    <row r="66" spans="1:9" x14ac:dyDescent="0.25">
      <c r="A66" t="s">
        <v>137</v>
      </c>
      <c r="B66" t="s">
        <v>138</v>
      </c>
      <c r="C66" t="s">
        <v>11</v>
      </c>
      <c r="D66" t="s">
        <v>21</v>
      </c>
      <c r="E66">
        <v>24</v>
      </c>
      <c r="F66">
        <v>72198</v>
      </c>
      <c r="G66">
        <v>3</v>
      </c>
      <c r="H66" t="s">
        <v>13</v>
      </c>
      <c r="I66" s="2">
        <v>45937</v>
      </c>
    </row>
    <row r="67" spans="1:9" x14ac:dyDescent="0.25">
      <c r="A67" t="s">
        <v>139</v>
      </c>
      <c r="B67" t="s">
        <v>140</v>
      </c>
      <c r="C67" t="s">
        <v>27</v>
      </c>
      <c r="D67" t="s">
        <v>21</v>
      </c>
      <c r="E67">
        <v>29</v>
      </c>
      <c r="F67">
        <v>79839</v>
      </c>
      <c r="G67">
        <v>3</v>
      </c>
      <c r="H67" t="s">
        <v>13</v>
      </c>
      <c r="I67" s="2">
        <v>45021</v>
      </c>
    </row>
    <row r="68" spans="1:9" x14ac:dyDescent="0.25">
      <c r="A68" t="s">
        <v>141</v>
      </c>
      <c r="B68" t="s">
        <v>121</v>
      </c>
      <c r="C68" t="s">
        <v>16</v>
      </c>
      <c r="D68" t="s">
        <v>12</v>
      </c>
      <c r="E68">
        <v>38</v>
      </c>
      <c r="F68">
        <v>62999</v>
      </c>
      <c r="G68">
        <v>5</v>
      </c>
      <c r="H68" t="s">
        <v>13</v>
      </c>
      <c r="I68" s="2">
        <v>44940</v>
      </c>
    </row>
    <row r="69" spans="1:9" x14ac:dyDescent="0.25">
      <c r="A69" t="s">
        <v>142</v>
      </c>
      <c r="B69" t="s">
        <v>46</v>
      </c>
      <c r="C69" t="s">
        <v>16</v>
      </c>
      <c r="D69" t="s">
        <v>21</v>
      </c>
      <c r="E69">
        <v>22</v>
      </c>
      <c r="F69">
        <v>88405</v>
      </c>
      <c r="G69">
        <v>5</v>
      </c>
      <c r="H69" t="s">
        <v>13</v>
      </c>
      <c r="I69" s="2">
        <v>44235</v>
      </c>
    </row>
    <row r="70" spans="1:9" x14ac:dyDescent="0.25">
      <c r="A70" t="s">
        <v>143</v>
      </c>
      <c r="B70" t="s">
        <v>44</v>
      </c>
      <c r="C70" t="s">
        <v>32</v>
      </c>
      <c r="D70" t="s">
        <v>21</v>
      </c>
      <c r="E70">
        <v>33</v>
      </c>
      <c r="F70">
        <v>32054</v>
      </c>
      <c r="G70">
        <v>4</v>
      </c>
      <c r="H70" t="s">
        <v>13</v>
      </c>
      <c r="I70" s="2">
        <v>44000</v>
      </c>
    </row>
    <row r="71" spans="1:9" x14ac:dyDescent="0.25">
      <c r="A71" t="s">
        <v>144</v>
      </c>
      <c r="B71" t="s">
        <v>56</v>
      </c>
      <c r="C71" t="s">
        <v>11</v>
      </c>
      <c r="D71" t="s">
        <v>21</v>
      </c>
      <c r="E71">
        <v>31</v>
      </c>
      <c r="F71">
        <v>63828</v>
      </c>
      <c r="G71">
        <v>4</v>
      </c>
      <c r="H71" t="s">
        <v>41</v>
      </c>
      <c r="I71" s="2">
        <v>44546</v>
      </c>
    </row>
    <row r="72" spans="1:9" x14ac:dyDescent="0.25">
      <c r="A72" t="s">
        <v>145</v>
      </c>
      <c r="B72" t="s">
        <v>146</v>
      </c>
      <c r="C72" t="s">
        <v>11</v>
      </c>
      <c r="D72" t="s">
        <v>21</v>
      </c>
      <c r="E72">
        <v>39</v>
      </c>
      <c r="F72">
        <v>66397</v>
      </c>
      <c r="G72">
        <v>3</v>
      </c>
      <c r="H72" t="s">
        <v>13</v>
      </c>
      <c r="I72" s="2">
        <v>43969</v>
      </c>
    </row>
    <row r="73" spans="1:9" x14ac:dyDescent="0.25">
      <c r="A73" t="s">
        <v>147</v>
      </c>
      <c r="B73" t="s">
        <v>148</v>
      </c>
      <c r="C73" t="s">
        <v>32</v>
      </c>
      <c r="D73" t="s">
        <v>12</v>
      </c>
      <c r="E73">
        <v>42</v>
      </c>
      <c r="F73">
        <v>87525</v>
      </c>
      <c r="G73">
        <v>2</v>
      </c>
      <c r="H73" t="s">
        <v>13</v>
      </c>
      <c r="I73" s="2">
        <v>45192</v>
      </c>
    </row>
    <row r="74" spans="1:9" x14ac:dyDescent="0.25">
      <c r="A74" t="s">
        <v>149</v>
      </c>
      <c r="B74" t="s">
        <v>150</v>
      </c>
      <c r="C74" t="s">
        <v>24</v>
      </c>
      <c r="D74" t="s">
        <v>12</v>
      </c>
      <c r="E74">
        <v>23</v>
      </c>
      <c r="F74">
        <v>78621</v>
      </c>
      <c r="G74">
        <v>4</v>
      </c>
      <c r="H74" t="s">
        <v>41</v>
      </c>
      <c r="I74" s="2">
        <v>43635</v>
      </c>
    </row>
    <row r="75" spans="1:9" x14ac:dyDescent="0.25">
      <c r="A75" t="s">
        <v>151</v>
      </c>
      <c r="B75" t="s">
        <v>119</v>
      </c>
      <c r="C75" t="s">
        <v>27</v>
      </c>
      <c r="D75" t="s">
        <v>21</v>
      </c>
      <c r="E75">
        <v>36</v>
      </c>
      <c r="F75">
        <v>75381</v>
      </c>
      <c r="G75">
        <v>3</v>
      </c>
      <c r="H75" t="s">
        <v>13</v>
      </c>
      <c r="I75" s="2">
        <v>45874</v>
      </c>
    </row>
    <row r="76" spans="1:9" x14ac:dyDescent="0.25">
      <c r="A76" t="s">
        <v>152</v>
      </c>
      <c r="B76" t="s">
        <v>124</v>
      </c>
      <c r="C76" t="s">
        <v>32</v>
      </c>
      <c r="D76" t="s">
        <v>12</v>
      </c>
      <c r="E76">
        <v>34</v>
      </c>
      <c r="F76">
        <v>75340</v>
      </c>
      <c r="G76">
        <v>5</v>
      </c>
      <c r="H76" t="s">
        <v>13</v>
      </c>
      <c r="I76" s="2">
        <v>45351</v>
      </c>
    </row>
    <row r="77" spans="1:9" x14ac:dyDescent="0.25">
      <c r="A77" t="s">
        <v>153</v>
      </c>
      <c r="B77" t="s">
        <v>154</v>
      </c>
      <c r="C77" t="s">
        <v>24</v>
      </c>
      <c r="D77" t="s">
        <v>12</v>
      </c>
      <c r="E77">
        <v>34</v>
      </c>
      <c r="F77">
        <v>79607</v>
      </c>
      <c r="G77">
        <v>2</v>
      </c>
      <c r="H77" t="s">
        <v>13</v>
      </c>
      <c r="I77" s="2">
        <v>44859</v>
      </c>
    </row>
    <row r="78" spans="1:9" x14ac:dyDescent="0.25">
      <c r="A78" t="s">
        <v>155</v>
      </c>
      <c r="B78" t="s">
        <v>156</v>
      </c>
      <c r="C78" t="s">
        <v>16</v>
      </c>
      <c r="D78" t="s">
        <v>21</v>
      </c>
      <c r="E78">
        <v>43</v>
      </c>
      <c r="F78">
        <v>86255</v>
      </c>
      <c r="G78">
        <v>3</v>
      </c>
      <c r="H78" t="s">
        <v>13</v>
      </c>
      <c r="I78" s="2">
        <v>45934</v>
      </c>
    </row>
    <row r="79" spans="1:9" x14ac:dyDescent="0.25">
      <c r="A79" t="s">
        <v>157</v>
      </c>
      <c r="B79" t="s">
        <v>158</v>
      </c>
      <c r="C79" t="s">
        <v>24</v>
      </c>
      <c r="D79" t="s">
        <v>12</v>
      </c>
      <c r="E79">
        <v>33</v>
      </c>
      <c r="F79">
        <v>56268</v>
      </c>
      <c r="G79">
        <v>5</v>
      </c>
      <c r="H79" t="s">
        <v>13</v>
      </c>
      <c r="I79" s="2">
        <v>45319</v>
      </c>
    </row>
    <row r="80" spans="1:9" x14ac:dyDescent="0.25">
      <c r="A80" t="s">
        <v>159</v>
      </c>
      <c r="B80" t="s">
        <v>160</v>
      </c>
      <c r="C80" t="s">
        <v>27</v>
      </c>
      <c r="D80" t="s">
        <v>12</v>
      </c>
      <c r="E80">
        <v>25</v>
      </c>
      <c r="F80">
        <v>68939</v>
      </c>
      <c r="G80">
        <v>4</v>
      </c>
      <c r="H80" t="s">
        <v>13</v>
      </c>
      <c r="I80" s="2">
        <v>44509</v>
      </c>
    </row>
    <row r="81" spans="1:9" x14ac:dyDescent="0.25">
      <c r="A81" t="s">
        <v>161</v>
      </c>
      <c r="B81" t="s">
        <v>162</v>
      </c>
      <c r="C81" t="s">
        <v>24</v>
      </c>
      <c r="D81" t="s">
        <v>21</v>
      </c>
      <c r="E81">
        <v>41</v>
      </c>
      <c r="F81">
        <v>64562</v>
      </c>
      <c r="G81">
        <v>5</v>
      </c>
      <c r="H81" t="s">
        <v>13</v>
      </c>
      <c r="I81" s="2">
        <v>45947</v>
      </c>
    </row>
    <row r="82" spans="1:9" x14ac:dyDescent="0.25">
      <c r="A82" t="s">
        <v>163</v>
      </c>
      <c r="B82" t="s">
        <v>164</v>
      </c>
      <c r="C82" t="s">
        <v>11</v>
      </c>
      <c r="D82" t="s">
        <v>21</v>
      </c>
      <c r="E82">
        <v>25</v>
      </c>
      <c r="F82">
        <v>61057</v>
      </c>
      <c r="G82">
        <v>5</v>
      </c>
      <c r="H82" t="s">
        <v>13</v>
      </c>
      <c r="I82" s="2">
        <v>43697</v>
      </c>
    </row>
    <row r="83" spans="1:9" x14ac:dyDescent="0.25">
      <c r="A83" t="s">
        <v>165</v>
      </c>
      <c r="B83" t="s">
        <v>76</v>
      </c>
      <c r="C83" t="s">
        <v>16</v>
      </c>
      <c r="D83" t="s">
        <v>12</v>
      </c>
      <c r="E83">
        <v>33</v>
      </c>
      <c r="F83">
        <v>75720</v>
      </c>
      <c r="G83">
        <v>2</v>
      </c>
      <c r="H83" t="s">
        <v>41</v>
      </c>
      <c r="I83" s="2">
        <v>45414</v>
      </c>
    </row>
    <row r="84" spans="1:9" x14ac:dyDescent="0.25">
      <c r="A84" t="s">
        <v>166</v>
      </c>
      <c r="B84" t="s">
        <v>167</v>
      </c>
      <c r="C84" t="s">
        <v>16</v>
      </c>
      <c r="D84" t="s">
        <v>12</v>
      </c>
      <c r="E84">
        <v>44</v>
      </c>
      <c r="F84">
        <v>63055</v>
      </c>
      <c r="G84">
        <v>2</v>
      </c>
      <c r="H84" t="s">
        <v>13</v>
      </c>
      <c r="I84" s="2">
        <v>44063</v>
      </c>
    </row>
    <row r="85" spans="1:9" x14ac:dyDescent="0.25">
      <c r="A85" t="s">
        <v>168</v>
      </c>
      <c r="B85" t="s">
        <v>128</v>
      </c>
      <c r="C85" t="s">
        <v>24</v>
      </c>
      <c r="D85" t="s">
        <v>21</v>
      </c>
      <c r="E85">
        <v>32</v>
      </c>
      <c r="F85">
        <v>84132</v>
      </c>
      <c r="G85">
        <v>4</v>
      </c>
      <c r="H85" t="s">
        <v>13</v>
      </c>
      <c r="I85" s="2">
        <v>45648</v>
      </c>
    </row>
    <row r="86" spans="1:9" x14ac:dyDescent="0.25">
      <c r="A86" t="s">
        <v>169</v>
      </c>
      <c r="B86" t="s">
        <v>170</v>
      </c>
      <c r="C86" t="s">
        <v>24</v>
      </c>
      <c r="D86" t="s">
        <v>21</v>
      </c>
      <c r="E86">
        <v>32</v>
      </c>
      <c r="F86">
        <v>72833</v>
      </c>
      <c r="G86">
        <v>5</v>
      </c>
      <c r="H86" t="s">
        <v>13</v>
      </c>
      <c r="I86" s="2">
        <v>44776</v>
      </c>
    </row>
    <row r="87" spans="1:9" x14ac:dyDescent="0.25">
      <c r="A87" t="s">
        <v>171</v>
      </c>
      <c r="B87" t="s">
        <v>172</v>
      </c>
      <c r="C87" t="s">
        <v>27</v>
      </c>
      <c r="D87" t="s">
        <v>21</v>
      </c>
      <c r="E87">
        <v>29</v>
      </c>
      <c r="F87">
        <v>44369</v>
      </c>
      <c r="G87">
        <v>4</v>
      </c>
      <c r="H87" t="s">
        <v>13</v>
      </c>
      <c r="I87" s="2">
        <v>45155</v>
      </c>
    </row>
    <row r="88" spans="1:9" x14ac:dyDescent="0.25">
      <c r="A88" t="s">
        <v>173</v>
      </c>
      <c r="B88" t="s">
        <v>174</v>
      </c>
      <c r="C88" t="s">
        <v>16</v>
      </c>
      <c r="D88" t="s">
        <v>12</v>
      </c>
      <c r="E88">
        <v>40</v>
      </c>
      <c r="F88">
        <v>31557</v>
      </c>
      <c r="G88">
        <v>3</v>
      </c>
      <c r="H88" t="s">
        <v>13</v>
      </c>
      <c r="I88" s="2">
        <v>44959</v>
      </c>
    </row>
    <row r="89" spans="1:9" x14ac:dyDescent="0.25">
      <c r="A89" t="s">
        <v>175</v>
      </c>
      <c r="B89" t="s">
        <v>26</v>
      </c>
      <c r="C89" t="s">
        <v>24</v>
      </c>
      <c r="D89" t="s">
        <v>21</v>
      </c>
      <c r="E89">
        <v>36</v>
      </c>
      <c r="F89">
        <v>52507</v>
      </c>
      <c r="G89">
        <v>4</v>
      </c>
      <c r="H89" t="s">
        <v>13</v>
      </c>
      <c r="I89" s="2">
        <v>44036</v>
      </c>
    </row>
    <row r="90" spans="1:9" x14ac:dyDescent="0.25">
      <c r="A90" t="s">
        <v>176</v>
      </c>
      <c r="B90" t="s">
        <v>177</v>
      </c>
      <c r="C90" t="s">
        <v>16</v>
      </c>
      <c r="D90" t="s">
        <v>21</v>
      </c>
      <c r="E90">
        <v>40</v>
      </c>
      <c r="F90">
        <v>51675</v>
      </c>
      <c r="G90">
        <v>3</v>
      </c>
      <c r="H90" t="s">
        <v>41</v>
      </c>
      <c r="I90" s="2">
        <v>44417</v>
      </c>
    </row>
    <row r="91" spans="1:9" x14ac:dyDescent="0.25">
      <c r="A91" t="s">
        <v>178</v>
      </c>
      <c r="B91" t="s">
        <v>179</v>
      </c>
      <c r="C91" t="s">
        <v>11</v>
      </c>
      <c r="D91" t="s">
        <v>21</v>
      </c>
      <c r="E91">
        <v>39</v>
      </c>
      <c r="F91">
        <v>67190</v>
      </c>
      <c r="G91">
        <v>5</v>
      </c>
      <c r="H91" t="s">
        <v>13</v>
      </c>
      <c r="I91" s="2">
        <v>45061</v>
      </c>
    </row>
    <row r="92" spans="1:9" x14ac:dyDescent="0.25">
      <c r="A92" t="s">
        <v>180</v>
      </c>
      <c r="B92" t="s">
        <v>181</v>
      </c>
      <c r="C92" t="s">
        <v>11</v>
      </c>
      <c r="D92" t="s">
        <v>21</v>
      </c>
      <c r="E92">
        <v>28</v>
      </c>
      <c r="F92">
        <v>73147</v>
      </c>
      <c r="G92">
        <v>2</v>
      </c>
      <c r="H92" t="s">
        <v>13</v>
      </c>
      <c r="I92" s="2">
        <v>45109</v>
      </c>
    </row>
    <row r="93" spans="1:9" x14ac:dyDescent="0.25">
      <c r="A93" t="s">
        <v>182</v>
      </c>
      <c r="B93" t="s">
        <v>66</v>
      </c>
      <c r="C93" t="s">
        <v>24</v>
      </c>
      <c r="D93" t="s">
        <v>21</v>
      </c>
      <c r="E93">
        <v>36</v>
      </c>
      <c r="F93">
        <v>57597</v>
      </c>
      <c r="G93">
        <v>4</v>
      </c>
      <c r="H93" t="s">
        <v>13</v>
      </c>
      <c r="I93" s="2">
        <v>43662</v>
      </c>
    </row>
    <row r="94" spans="1:9" x14ac:dyDescent="0.25">
      <c r="A94" t="s">
        <v>183</v>
      </c>
      <c r="B94" t="s">
        <v>140</v>
      </c>
      <c r="C94" t="s">
        <v>27</v>
      </c>
      <c r="D94" t="s">
        <v>21</v>
      </c>
      <c r="E94">
        <v>24</v>
      </c>
      <c r="F94">
        <v>40132</v>
      </c>
      <c r="G94">
        <v>2</v>
      </c>
      <c r="H94" t="s">
        <v>13</v>
      </c>
      <c r="I94" s="2">
        <v>45492</v>
      </c>
    </row>
    <row r="95" spans="1:9" x14ac:dyDescent="0.25">
      <c r="A95" t="s">
        <v>184</v>
      </c>
      <c r="B95" t="s">
        <v>185</v>
      </c>
      <c r="C95" t="s">
        <v>16</v>
      </c>
      <c r="D95" t="s">
        <v>12</v>
      </c>
      <c r="E95">
        <v>41</v>
      </c>
      <c r="F95">
        <v>79502</v>
      </c>
      <c r="G95">
        <v>3</v>
      </c>
      <c r="H95" t="s">
        <v>13</v>
      </c>
      <c r="I95" s="2">
        <v>44804</v>
      </c>
    </row>
    <row r="96" spans="1:9" x14ac:dyDescent="0.25">
      <c r="A96" t="s">
        <v>186</v>
      </c>
      <c r="B96" t="s">
        <v>38</v>
      </c>
      <c r="C96" t="s">
        <v>32</v>
      </c>
      <c r="D96" t="s">
        <v>21</v>
      </c>
      <c r="E96">
        <v>27</v>
      </c>
      <c r="F96">
        <v>43277</v>
      </c>
      <c r="G96">
        <v>5</v>
      </c>
      <c r="H96" t="s">
        <v>13</v>
      </c>
      <c r="I96" s="2">
        <v>44548</v>
      </c>
    </row>
    <row r="97" spans="1:9" x14ac:dyDescent="0.25">
      <c r="A97" t="s">
        <v>187</v>
      </c>
      <c r="B97" t="s">
        <v>188</v>
      </c>
      <c r="C97" t="s">
        <v>24</v>
      </c>
      <c r="D97" t="s">
        <v>12</v>
      </c>
      <c r="E97">
        <v>31</v>
      </c>
      <c r="F97">
        <v>31498</v>
      </c>
      <c r="G97">
        <v>4</v>
      </c>
      <c r="H97" t="s">
        <v>13</v>
      </c>
      <c r="I97" s="2">
        <v>45204</v>
      </c>
    </row>
    <row r="98" spans="1:9" x14ac:dyDescent="0.25">
      <c r="A98" t="s">
        <v>189</v>
      </c>
      <c r="B98" t="s">
        <v>190</v>
      </c>
      <c r="C98" t="s">
        <v>27</v>
      </c>
      <c r="D98" t="s">
        <v>21</v>
      </c>
      <c r="E98">
        <v>32</v>
      </c>
      <c r="F98">
        <v>53123</v>
      </c>
      <c r="G98">
        <v>2</v>
      </c>
      <c r="H98" t="s">
        <v>41</v>
      </c>
      <c r="I98" s="2">
        <v>44221</v>
      </c>
    </row>
    <row r="99" spans="1:9" x14ac:dyDescent="0.25">
      <c r="A99" t="s">
        <v>191</v>
      </c>
      <c r="B99" t="s">
        <v>192</v>
      </c>
      <c r="C99" t="s">
        <v>11</v>
      </c>
      <c r="D99" t="s">
        <v>12</v>
      </c>
      <c r="E99">
        <v>44</v>
      </c>
      <c r="F99">
        <v>50815</v>
      </c>
      <c r="G99">
        <v>4</v>
      </c>
      <c r="H99" t="s">
        <v>13</v>
      </c>
      <c r="I99" s="2">
        <v>45333</v>
      </c>
    </row>
    <row r="100" spans="1:9" x14ac:dyDescent="0.25">
      <c r="A100" t="s">
        <v>193</v>
      </c>
      <c r="B100" t="s">
        <v>194</v>
      </c>
      <c r="C100" t="s">
        <v>27</v>
      </c>
      <c r="D100" t="s">
        <v>21</v>
      </c>
      <c r="E100">
        <v>36</v>
      </c>
      <c r="F100">
        <v>81471</v>
      </c>
      <c r="G100">
        <v>3</v>
      </c>
      <c r="H100" t="s">
        <v>13</v>
      </c>
      <c r="I100" s="2">
        <v>45852</v>
      </c>
    </row>
    <row r="101" spans="1:9" x14ac:dyDescent="0.25">
      <c r="A101" t="s">
        <v>195</v>
      </c>
      <c r="B101" t="s">
        <v>31</v>
      </c>
      <c r="C101" t="s">
        <v>16</v>
      </c>
      <c r="D101" t="s">
        <v>12</v>
      </c>
      <c r="E101">
        <v>27</v>
      </c>
      <c r="F101">
        <v>74746</v>
      </c>
      <c r="G101">
        <v>5</v>
      </c>
      <c r="H101" t="s">
        <v>13</v>
      </c>
      <c r="I101" s="2">
        <v>44367</v>
      </c>
    </row>
  </sheetData>
  <conditionalFormatting sqref="G1:G1048576">
    <cfRule type="colorScale" priority="3">
      <colorScale>
        <cfvo type="min"/>
        <cfvo type="percentile" val="50"/>
        <cfvo type="max"/>
        <color rgb="FFF8696B"/>
        <color rgb="FFFCFCFF"/>
        <color rgb="FF63BE7B"/>
      </colorScale>
    </cfRule>
  </conditionalFormatting>
  <conditionalFormatting sqref="H1:H1048576">
    <cfRule type="containsText" dxfId="5" priority="2" operator="containsText" text="Yes">
      <formula>NOT(ISERROR(SEARCH("Yes",H1)))</formula>
    </cfRule>
    <cfRule type="containsText" dxfId="4" priority="1" operator="containsText" text="No">
      <formula>NOT(ISERROR(SEARCH("No",H1)))</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8"/>
  <sheetViews>
    <sheetView showGridLines="0" tabSelected="1" workbookViewId="0">
      <selection activeCell="C14" sqref="C14"/>
    </sheetView>
  </sheetViews>
  <sheetFormatPr defaultRowHeight="15" x14ac:dyDescent="0.25"/>
  <cols>
    <col min="1" max="1" width="20.42578125" bestFit="1" customWidth="1"/>
  </cols>
  <sheetData>
    <row r="1" spans="1:2" x14ac:dyDescent="0.25">
      <c r="A1" s="6" t="s">
        <v>196</v>
      </c>
      <c r="B1" s="6" t="s">
        <v>197</v>
      </c>
    </row>
    <row r="2" spans="1:2" x14ac:dyDescent="0.25">
      <c r="A2" s="7" t="s">
        <v>198</v>
      </c>
      <c r="B2" s="7">
        <f>COUNTA(Employee_Data!A2:A101)</f>
        <v>100</v>
      </c>
    </row>
    <row r="3" spans="1:2" x14ac:dyDescent="0.25">
      <c r="A3" s="7" t="s">
        <v>199</v>
      </c>
      <c r="B3" s="7">
        <f>COUNTIF(Employee_Data!H2:H101,"Yes")</f>
        <v>12</v>
      </c>
    </row>
    <row r="4" spans="1:2" x14ac:dyDescent="0.25">
      <c r="A4" s="7" t="s">
        <v>200</v>
      </c>
      <c r="B4" s="7">
        <f>COUNTIF(Employee_Data!H2:H101,"Yes")/COUNTA(Employee_Data!A2:A101)</f>
        <v>0.12</v>
      </c>
    </row>
    <row r="5" spans="1:2" x14ac:dyDescent="0.25">
      <c r="A5" s="7" t="s">
        <v>201</v>
      </c>
      <c r="B5" s="7">
        <f>AVERAGE(Employee_Data!F2:F101)</f>
        <v>61842.3</v>
      </c>
    </row>
    <row r="6" spans="1:2" x14ac:dyDescent="0.25">
      <c r="A6" s="7" t="s">
        <v>202</v>
      </c>
      <c r="B6" s="7">
        <f>AVERAGE(Employee_Data!G2:G101)</f>
        <v>3.62</v>
      </c>
    </row>
    <row r="7" spans="1:2" x14ac:dyDescent="0.25">
      <c r="A7" s="7" t="s">
        <v>203</v>
      </c>
      <c r="B7" s="7">
        <f>COUNTIF(Employee_Data!D2:D101,"Male")</f>
        <v>48</v>
      </c>
    </row>
    <row r="8" spans="1:2" x14ac:dyDescent="0.25">
      <c r="A8" s="7" t="s">
        <v>204</v>
      </c>
      <c r="B8" s="7">
        <f>COUNTIF(Employee_Data!D2:D101,"Female")</f>
        <v>52</v>
      </c>
    </row>
  </sheetData>
  <pageMargins left="0.75" right="0.75" top="1" bottom="1" header="0.5" footer="0.5"/>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
  <sheetViews>
    <sheetView showGridLines="0" zoomScale="66" zoomScaleNormal="66" workbookViewId="0">
      <selection activeCell="Z24" sqref="Z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Employee_Data</vt:lpstr>
      <vt:lpstr>KPI_Calculations</vt:lpstr>
      <vt:lpstr>HR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Sayali Taralekar</cp:lastModifiedBy>
  <dcterms:created xsi:type="dcterms:W3CDTF">2026-06-19T08:52:34Z</dcterms:created>
  <dcterms:modified xsi:type="dcterms:W3CDTF">2026-06-23T12:14:09Z</dcterms:modified>
</cp:coreProperties>
</file>